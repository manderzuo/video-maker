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1cfc49984c4d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0b930d002d2f41cb"/>
    <x:sheet xmlns:r="http://schemas.openxmlformats.org/officeDocument/2006/relationships" name="实施任务" sheetId="2" r:id="R623d4de1824f4cd8"/>
    <x:sheet xmlns:r="http://schemas.openxmlformats.org/officeDocument/2006/relationships" name="交互追踪" sheetId="3" r:id="R545a0cdb8abe40bf"/>
    <x:sheet xmlns:r="http://schemas.openxmlformats.org/officeDocument/2006/relationships" name="页面与弹窗" sheetId="4" r:id="Rbfbfc8d973654078"/>
    <x:sheet xmlns:r="http://schemas.openxmlformats.org/officeDocument/2006/relationships" name="门槛与风险" sheetId="5" r:id="Rf2ee12d110ef4d77"/>
    <x:sheet xmlns:r="http://schemas.openxmlformats.org/officeDocument/2006/relationships" name="上游处置" sheetId="6" r:id="Rf815509172824874"/>
    <x:sheet xmlns:r="http://schemas.openxmlformats.org/officeDocument/2006/relationships" name="错误恢复" sheetId="7" r:id="R37a64263d3e74abd"/>
    <x:sheet xmlns:r="http://schemas.openxmlformats.org/officeDocument/2006/relationships" name="提示词验收" sheetId="8" r:id="R893e539d84804c47"/>
    <x:sheet xmlns:r="http://schemas.openxmlformats.org/officeDocument/2006/relationships" name="来源与基线" sheetId="9" r:id="R856e7768dd4243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12">
    <x:font>
      <x:sz val="11"/>
      <x:name val="Carlito"/>
    </x:font>
    <x:font>
      <x:sz val="10"/>
      <x:color rgb="FF253647"/>
      <x:name val="Microsoft YaHei"/>
    </x:font>
    <x:font>
      <x:b/>
      <x:sz val="18"/>
      <x:color rgb="FFFFFFFF"/>
      <x:name val="Microsoft YaHei"/>
    </x:font>
    <x:font>
      <x:sz val="10"/>
      <x:color rgb="FF526475"/>
      <x:name val="Microsoft YaHei"/>
    </x:font>
    <x:font>
      <x:b/>
      <x:sz val="10"/>
      <x:color rgb="FFFFFFFF"/>
      <x:name val="Microsoft YaHei"/>
    </x:font>
    <x:font>
      <x:sz val="11"/>
      <x:color rgb="FF253647"/>
      <x:name val="Microsoft YaHei"/>
    </x:font>
    <x:font>
      <x:b/>
      <x:sz val="21"/>
      <x:color rgb="FFFFFFFF"/>
      <x:name val="Microsoft YaHei"/>
    </x:font>
    <x:font>
      <x:sz val="11"/>
      <x:color rgb="FF526475"/>
      <x:name val="Microsoft YaHei"/>
    </x:font>
    <x:font>
      <x:b/>
      <x:sz val="11"/>
      <x:color rgb="FF526475"/>
      <x:name val="Microsoft YaHei"/>
    </x:font>
    <x:font>
      <x:b/>
      <x:sz val="29"/>
      <x:color rgb="FF147D69"/>
      <x:name val="Microsoft YaHei"/>
    </x:font>
    <x:font>
      <x:b/>
      <x:sz val="11"/>
      <x:color rgb="FFFFFFFF"/>
      <x:name val="Microsoft YaHei"/>
    </x:font>
    <x:font>
      <x:b/>
      <x:sz val="11"/>
      <x:color rgb="FF253647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17232E"/>
      </x:patternFill>
    </x:fill>
    <x:fill>
      <x:patternFill patternType="solid">
        <x:fgColor rgb="FFE9F6F2"/>
      </x:patternFill>
    </x:fill>
    <x:fill>
      <x:patternFill patternType="solid">
        <x:fgColor rgb="FF147D69"/>
      </x:patternFill>
    </x:fill>
    <x:fill>
      <x:patternFill patternType="solid">
        <x:fgColor rgb="FFE9F1FC"/>
      </x:patternFill>
    </x:fill>
    <x:fill>
      <x:patternFill patternType="solid">
        <x:fgColor rgb="FFEEF2F5"/>
      </x:patternFill>
    </x:fill>
  </x:fills>
  <x:borders count="2">
    <x:border/>
    <x:border/>
  </x:borders>
  <x:cellStyleXfs count="1">
    <x:xf numFmtId="0" fontId="0" fillId="0" borderId="0"/>
  </x:cellStyleXfs>
  <x:cellXfs count="6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top"/>
    </x:xf>
    <x:xf numFmtId="0" fontId="3" fillId="3" borderId="0" xfId="0" applyNumberFormat="1" applyFont="1" applyFill="1" applyBorder="1" applyAlignment="1">
      <x:alignment vertical="top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/>
    </x:xf>
    <x:xf numFmtId="0" fontId="3" fillId="3" borderId="1" xfId="0" applyNumberFormat="1" applyFont="1" applyFill="1" applyBorder="1" applyAlignment="1">
      <x:alignment vertical="top"/>
    </x:xf>
    <x:xf numFmtId="0" fontId="3" fillId="3" borderId="1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/>
    </x:xf>
    <x:xf numFmtId="0" fontId="4" fillId="4" borderId="0" xfId="0" applyNumberFormat="1" applyFont="1" applyFill="1" applyBorder="1" applyAlignment="1">
      <x:alignment vertical="top"/>
    </x:xf>
    <x:xf numFmtId="0" fontId="4" fillId="4" borderId="0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/>
    </x:xf>
    <x:xf numFmtId="0" fontId="4" fillId="4" borderId="1" xfId="0" applyNumberFormat="1" applyFont="1" applyFill="1" applyBorder="1" applyAlignment="1">
      <x:alignment vertical="top"/>
    </x:xf>
    <x:xf numFmtId="0" fontId="4" fillId="4" borderId="1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1" fillId="5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center" wrapText="1"/>
    </x:xf>
    <x:xf numFmtId="0" fontId="5" fillId="2" borderId="1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8" fillId="6" borderId="0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vertical="center" wrapText="1"/>
    </x:xf>
    <x:xf numFmtId="0" fontId="8" fillId="6" borderId="1" xfId="0" applyNumberFormat="1" applyFont="1" applyFill="1" applyBorder="1" applyAlignment="1">
      <x:alignment vertical="center" wrapText="1"/>
    </x:xf>
    <x:xf numFmtId="0" fontId="9" fillId="3" borderId="0" xfId="0" applyNumberFormat="1" applyFont="1" applyFill="1" applyBorder="1" applyAlignment="1">
      <x:alignment vertical="center" wrapText="1"/>
    </x:xf>
    <x:xf numFmtId="0" fontId="9" fillId="3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10" fillId="4" borderId="0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vertical="center" wrapText="1"/>
    </x:xf>
    <x:xf numFmtId="0" fontId="10" fillId="4" borderId="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 applyAlignment="1">
      <x:alignment vertical="center" wrapText="1"/>
    </x:xf>
    <x:xf numFmtId="200" fontId="5" fillId="0" borderId="1" xfId="0" applyNumberFormat="1" applyFont="1" applyFill="1" applyBorder="1" applyAlignment="1">
      <x:alignment vertical="center" wrapText="1"/>
    </x:xf>
    <x:xf numFmtId="200" fontId="5" fillId="3" borderId="0" xfId="0" applyNumberFormat="1" applyFont="1" applyFill="1" applyBorder="1" applyAlignment="1">
      <x:alignment vertical="center" wrapText="1"/>
    </x:xf>
    <x:xf numFmtId="0" fontId="11" fillId="3" borderId="0" xfId="0" applyNumberFormat="1" applyFont="1" applyFill="1" applyBorder="1" applyAlignment="1">
      <x:alignment vertical="center" wrapText="1"/>
    </x:xf>
    <x:xf numFmtId="200" fontId="11" fillId="3" borderId="0" xfId="0" applyNumberFormat="1" applyFont="1" applyFill="1" applyBorder="1" applyAlignment="1">
      <x:alignment vertical="center" wrapText="1"/>
    </x:xf>
    <x:xf numFmtId="200" fontId="5" fillId="3" borderId="1" xfId="0" applyNumberFormat="1" applyFont="1" applyFill="1" applyBorder="1" applyAlignment="1">
      <x:alignment vertical="center" wrapText="1"/>
    </x:xf>
    <x:xf numFmtId="0" fontId="11" fillId="3" borderId="1" xfId="0" applyNumberFormat="1" applyFont="1" applyFill="1" applyBorder="1" applyAlignment="1">
      <x:alignment vertical="center" wrapText="1"/>
    </x:xf>
    <x:xf numFmtId="200" fontId="11" fillId="3" borderId="1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0" fontId="9" fillId="3" borderId="0" xfId="0" applyNumberFormat="1" applyFont="1" applyFill="1" applyBorder="1" applyAlignment="1">
      <x:alignment horizontal="center" vertical="center" wrapText="1"/>
    </x:xf>
    <x:xf numFmtId="0" fontId="9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0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d0d07504464487" /><Relationship Type="http://schemas.openxmlformats.org/officeDocument/2006/relationships/theme" Target="/xl/theme/theme1.xml" Id="Rafd115e130134194" /><Relationship Type="http://schemas.openxmlformats.org/officeDocument/2006/relationships/sharedStrings" Target="/xl/sharedStrings.xml" Id="Rd2a8d52e887f41af" /><Relationship Type="http://schemas.openxmlformats.org/officeDocument/2006/relationships/worksheet" Target="/xl/worksheets/sheet1.xml" Id="R0b930d002d2f41cb" /><Relationship Type="http://schemas.openxmlformats.org/officeDocument/2006/relationships/worksheet" Target="/xl/worksheets/sheet2.xml" Id="R623d4de1824f4cd8" /><Relationship Type="http://schemas.openxmlformats.org/officeDocument/2006/relationships/worksheet" Target="/xl/worksheets/sheet3.xml" Id="R545a0cdb8abe40bf" /><Relationship Type="http://schemas.openxmlformats.org/officeDocument/2006/relationships/worksheet" Target="/xl/worksheets/sheet4.xml" Id="Rbfbfc8d973654078" /><Relationship Type="http://schemas.openxmlformats.org/officeDocument/2006/relationships/worksheet" Target="/xl/worksheets/sheet5.xml" Id="Rf2ee12d110ef4d77" /><Relationship Type="http://schemas.openxmlformats.org/officeDocument/2006/relationships/worksheet" Target="/xl/worksheets/sheet6.xml" Id="Rf815509172824874" /><Relationship Type="http://schemas.openxmlformats.org/officeDocument/2006/relationships/worksheet" Target="/xl/worksheets/sheet7.xml" Id="R37a64263d3e74abd" /><Relationship Type="http://schemas.openxmlformats.org/officeDocument/2006/relationships/worksheet" Target="/xl/worksheets/sheet8.xml" Id="R893e539d84804c47" /><Relationship Type="http://schemas.openxmlformats.org/officeDocument/2006/relationships/worksheet" Target="/xl/worksheets/sheet9.xml" Id="R856e7768dd42435d" /></Relationships>
</file>

<file path=xl/tables/table1.xml><?xml version="1.0" encoding="utf-8"?>
<x:table xmlns:x="http://schemas.openxmlformats.org/spreadsheetml/2006/main" id="1" name="Table2" displayName="Table2" ref="A5:M55" headerRowCount="1" totalsRowCount="0" totalsRowShown="0">
  <x:tableColumns count="13">
    <x:tableColumn id="1" name="任务ID"/>
    <x:tableColumn id="2" name="阶段"/>
    <x:tableColumn id="3" name="交付任务"/>
    <x:tableColumn id="4" name="前置任务"/>
    <x:tableColumn id="5" name="分支"/>
    <x:tableColumn id="6" name="指定执行代理"/>
    <x:tableColumn id="7" name="主文件"/>
    <x:tableColumn id="8" name="主要验证命令"/>
    <x:tableColumn id="9" name="实施状态"/>
    <x:tableColumn id="10" name="验收状态"/>
    <x:tableColumn id="11" name="证据路径/提交"/>
    <x:tableColumn id="12" name="开放门槛"/>
    <x:tableColumn id="13" name="交互编号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3" displayName="Table3" ref="A5:O265" headerRowCount="1" totalsRowCount="0" totalsRowShown="0">
  <x:tableColumns count="15">
    <x:tableColumn id="1" name="交互ID"/>
    <x:tableColumn id="2" name="控件/操作"/>
    <x:tableColumn id="3" name="页面"/>
    <x:tableColumn id="4" name="交付范围"/>
    <x:tableColumn id="5" name="主任务"/>
    <x:tableColumn id="6" name="验收编号"/>
    <x:tableColumn id="7" name="测试文件"/>
    <x:tableColumn id="8" name="前置条件"/>
    <x:tableColumn id="9" name="动作与结果"/>
    <x:tableColumn id="10" name="异常与恢复"/>
    <x:tableColumn id="11" name="保存/撤销"/>
    <x:tableColumn id="12" name="接口与费用"/>
    <x:tableColumn id="13" name="实施状态"/>
    <x:tableColumn id="14" name="证据"/>
    <x:tableColumn id="15" name="规格来源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4" displayName="Table4" ref="A5:G58" headerRowCount="1" totalsRowCount="0" totalsRowShown="0">
  <x:tableColumns count="7">
    <x:tableColumn id="1" name="编号"/>
    <x:tableColumn id="2" name="类型"/>
    <x:tableColumn id="3" name="名称"/>
    <x:tableColumn id="4" name="责任任务"/>
    <x:tableColumn id="5" name="阶段"/>
    <x:tableColumn id="6" name="验收状态"/>
    <x:tableColumn id="7" name="来源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5" displayName="Table5" ref="A5:F17" headerRowCount="1" totalsRowCount="0" totalsRowShown="0">
  <x:tableColumns count="6">
    <x:tableColumn id="1" name="门槛ID"/>
    <x:tableColumn id="2" name="门槛"/>
    <x:tableColumn id="3" name="通过条件"/>
    <x:tableColumn id="4" name="责任任务"/>
    <x:tableColumn id="5" name="当前状态"/>
    <x:tableColumn id="6" name="阻断规则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6" displayName="Table6" ref="A5:E30" headerRowCount="1" totalsRowCount="0" totalsRowShown="0">
  <x:tableColumns count="5">
    <x:tableColumn id="1" name="编号"/>
    <x:tableColumn id="2" name="原能力"/>
    <x:tableColumn id="3" name="处置"/>
    <x:tableColumn id="4" name="目标页面"/>
    <x:tableColumn id="5" name="边界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e7" displayName="Table7" ref="A5:E29" headerRowCount="1" totalsRowCount="0" totalsRowShown="0">
  <x:tableColumns count="5">
    <x:tableColumn id="1" name="编号"/>
    <x:tableColumn id="2" name="技术状态"/>
    <x:tableColumn id="3" name="用户文案"/>
    <x:tableColumn id="4" name="安全恢复"/>
    <x:tableColumn id="5" name="禁止行为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able8" displayName="Table8" ref="A5:F21" headerRowCount="1" totalsRowCount="0" totalsRowShown="0">
  <x:tableColumns count="6">
    <x:tableColumn id="1" name="用例"/>
    <x:tableColumn id="2" name="验收要求"/>
    <x:tableColumn id="3" name="主任务"/>
    <x:tableColumn id="4" name="验证状态"/>
    <x:tableColumn id="5" name="证据"/>
    <x:tableColumn id="6" name="来源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able9" displayName="Table9" ref="A5:F15" headerRowCount="1" totalsRowCount="0" totalsRowShown="0">
  <x:tableColumns count="6">
    <x:tableColumn id="1" name="来源ID"/>
    <x:tableColumn id="2" name="名称"/>
    <x:tableColumn id="3" name="核对状态"/>
    <x:tableColumn id="4" name="快照/相对路径"/>
    <x:tableColumn id="5" name="来源地址"/>
    <x:tableColumn id="6" name="附件SHA-256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1f64e8bf10c444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444ccfc7b60497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f4b76920ebd4b8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eb34aa31fec40b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47a1ca278e64bd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077298c8f4c4e8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ae653553dfe423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7207e9b1bce46f3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1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31" hidden="0" customWidth="1"/>
  </x:cols>
  <x:sheetData>
    <x:row r="1" ht="25" customHeight="1">
      <x:c r="A1" s="35" t="str">
        <x:v>AI WORK Studio｜正式实施计划</x:v>
      </x:c>
      <x:c r="B1" s="35"/>
      <x:c r="C1" s="35"/>
      <x:c r="D1" s="35"/>
      <x:c r="E1" s="35"/>
      <x:c r="F1" s="35"/>
      <x:c r="G1" s="35"/>
      <x:c r="H1" s="35"/>
    </x:row>
    <x:row r="2" ht="25" customHeight="1">
      <x:c r="A2" s="35"/>
      <x:c r="B2" s="35"/>
      <x:c r="C2" s="35"/>
      <x:c r="D2" s="35"/>
      <x:c r="E2" s="35"/>
      <x:c r="F2" s="35"/>
      <x:c r="G2" s="35"/>
      <x:c r="H2" s="35"/>
    </x:row>
    <x:row r="3" ht="30" customHeight="1">
      <x:c r="A3" s="39" t="str">
        <x:v>TRAEWORK/aiwork-studio  ·  设计已确认，产品尚未实施  ·  2026-09-30</x:v>
      </x:c>
      <x:c r="B3" s="39"/>
      <x:c r="C3" s="39"/>
      <x:c r="D3" s="39"/>
      <x:c r="E3" s="39"/>
      <x:c r="F3" s="39"/>
      <x:c r="G3" s="39"/>
      <x:c r="H3" s="39"/>
    </x:row>
    <x:row r="4">
      <x:c r="A4" s="30"/>
      <x:c r="B4" s="30"/>
      <x:c r="C4" s="30"/>
      <x:c r="D4" s="30"/>
      <x:c r="E4" s="30"/>
      <x:c r="F4" s="30"/>
      <x:c r="G4" s="30"/>
      <x:c r="H4" s="30"/>
    </x:row>
    <x:row r="5" ht="26" customHeight="1">
      <x:c r="A5" s="43" t="str">
        <x:v>实施任务</x:v>
      </x:c>
      <x:c r="B5" s="43"/>
      <x:c r="C5" s="43" t="str">
        <x:v>已验收任务</x:v>
      </x:c>
      <x:c r="D5" s="43"/>
      <x:c r="E5" s="43" t="str">
        <x:v>交互总项</x:v>
      </x:c>
      <x:c r="F5" s="43"/>
      <x:c r="G5" s="43" t="str">
        <x:v>已验收交互</x:v>
      </x:c>
      <x:c r="H5" s="43"/>
    </x:row>
    <x:row r="6" ht="26" customHeight="1">
      <x:c r="A6" s="66" t="n">
        <x:f>COUNTA('实施任务'!A6:A55)</x:f>
        <x:v>50</x:v>
      </x:c>
      <x:c r="B6" s="66"/>
      <x:c r="C6" s="66" t="n">
        <x:f>COUNTIF('实施任务'!J6:J55,"通过")</x:f>
        <x:v>0</x:v>
      </x:c>
      <x:c r="D6" s="66"/>
      <x:c r="E6" s="66" t="n">
        <x:f>COUNTA('交互追踪'!A6:A265)</x:f>
        <x:v>260</x:v>
      </x:c>
      <x:c r="F6" s="66"/>
      <x:c r="G6" s="66" t="n">
        <x:f>COUNTIF('交互追踪'!M6:M265,"通过")+COUNTIF('交互追踪'!M6:M265,"条件门控通过")</x:f>
        <x:v>0</x:v>
      </x:c>
      <x:c r="H6" s="66"/>
    </x:row>
    <x:row r="7" ht="26" customHeight="1">
      <x:c r="A7" s="66"/>
      <x:c r="B7" s="66"/>
      <x:c r="C7" s="66"/>
      <x:c r="D7" s="66"/>
      <x:c r="E7" s="66"/>
      <x:c r="F7" s="66"/>
      <x:c r="G7" s="66"/>
      <x:c r="H7" s="66"/>
    </x:row>
    <x:row r="8">
      <x:c r="A8" s="30"/>
      <x:c r="B8" s="30"/>
      <x:c r="C8" s="30"/>
      <x:c r="D8" s="30"/>
      <x:c r="E8" s="30"/>
      <x:c r="F8" s="30"/>
      <x:c r="G8" s="30"/>
      <x:c r="H8" s="30"/>
    </x:row>
    <x:row r="9" ht="26" customHeight="1">
      <x:c r="A9" s="48" t="str">
        <x:v>进度只来自填写并核验的状态。下方“交互覆盖”指已有责任任务，不表示交互测试已经通过。</x:v>
      </x:c>
      <x:c r="B9" s="48"/>
      <x:c r="C9" s="48"/>
      <x:c r="D9" s="48"/>
      <x:c r="E9" s="48"/>
      <x:c r="F9" s="48"/>
      <x:c r="G9" s="48"/>
      <x:c r="H9" s="48"/>
    </x:row>
    <x:row r="10">
      <x:c r="A10" s="30"/>
      <x:c r="B10" s="30"/>
      <x:c r="C10" s="30"/>
      <x:c r="D10" s="30"/>
      <x:c r="E10" s="30"/>
      <x:c r="F10" s="30"/>
      <x:c r="G10" s="30"/>
      <x:c r="H10" s="30"/>
    </x:row>
    <x:row r="11" ht="32" customHeight="1">
      <x:c r="A11" s="51" t="str">
        <x:v>阶段</x:v>
      </x:c>
      <x:c r="B11" s="51" t="str">
        <x:v>工作包</x:v>
      </x:c>
      <x:c r="C11" s="51" t="str">
        <x:v>任务数</x:v>
      </x:c>
      <x:c r="D11" s="51" t="str">
        <x:v>验收通过</x:v>
      </x:c>
      <x:c r="E11" s="51" t="str">
        <x:v>未通过验收</x:v>
      </x:c>
      <x:c r="F11" s="51" t="str">
        <x:v>交互覆盖</x:v>
      </x:c>
      <x:c r="G11" s="51" t="str">
        <x:v>验收率</x:v>
      </x:c>
      <x:c r="H11" s="51" t="str">
        <x:v>首要交付</x:v>
      </x:c>
    </x:row>
    <x:row r="12" ht="47" customHeight="1">
      <x:c r="A12" s="30" t="str">
        <x:v>WP00</x:v>
      </x:c>
      <x:c r="B12" s="30" t="str">
        <x:v>基线、来源与设计收口</x:v>
      </x:c>
      <x:c r="C12" s="30" t="n">
        <x:f>COUNTIF('实施任务'!$B$6:$B$55,A12)</x:f>
        <x:v>3</x:v>
      </x:c>
      <x:c r="D12" s="30" t="n">
        <x:f>COUNTIFS('实施任务'!$B$6:$B$55,A12,'实施任务'!$J$6:$J$55,"通过")</x:f>
        <x:v>0</x:v>
      </x:c>
      <x:c r="E12" s="30" t="n">
        <x:f>C12-D12</x:f>
        <x:v>3</x:v>
      </x:c>
      <x:c r="F12" s="30" t="n">
        <x:f>COUNTIF('交互追踪'!$E$6:$E$265,"T01")+COUNTIF('交互追踪'!$E$6:$E$265,"T02")+COUNTIF('交互追踪'!$E$6:$E$265,"T03")</x:f>
        <x:v>0</x:v>
      </x:c>
      <x:c r="G12" s="54" t="n">
        <x:f>IF(C12=0,0,D12/C12)</x:f>
        <x:v>0</x:v>
      </x:c>
      <x:c r="H12" s="30" t="str">
        <x:v>真实目录与模型核验、来源台账、视觉冻结</x:v>
      </x:c>
    </x:row>
    <x:row r="13" ht="47" customHeight="1">
      <x:c r="A13" s="30" t="str">
        <x:v>WP01</x:v>
      </x:c>
      <x:c r="B13" s="30" t="str">
        <x:v>领域模型、存储与安全底座</x:v>
      </x:c>
      <x:c r="C13" s="30" t="n">
        <x:f>COUNTIF('实施任务'!$B$6:$B$55,A13)</x:f>
        <x:v>7</x:v>
      </x:c>
      <x:c r="D13" s="30" t="n">
        <x:f>COUNTIFS('实施任务'!$B$6:$B$55,A13,'实施任务'!$J$6:$J$55,"通过")</x:f>
        <x:v>0</x:v>
      </x:c>
      <x:c r="E13" s="30" t="n">
        <x:f>C13-D13</x:f>
        <x:v>7</x:v>
      </x:c>
      <x:c r="F13" s="30" t="n">
        <x:f>COUNTIF('交互追踪'!$E$6:$E$265,"T04")+COUNTIF('交互追踪'!$E$6:$E$265,"T05")+COUNTIF('交互追踪'!$E$6:$E$265,"T06")+COUNTIF('交互追踪'!$E$6:$E$265,"T07")+COUNTIF('交互追踪'!$E$6:$E$265,"T08")+COUNTIF('交互追踪'!$E$6:$E$265,"T09")+COUNTIF('交互追踪'!$E$6:$E$265,"T10")</x:f>
        <x:v>10</x:v>
      </x:c>
      <x:c r="G13" s="54" t="n">
        <x:f>IF(C13=0,0,D13/C13)</x:f>
        <x:v>0</x:v>
      </x:c>
      <x:c r="H13" s="30" t="str">
        <x:v>CAS事务、写锁、素材、密钥、统一命令</x:v>
      </x:c>
    </x:row>
    <x:row r="14" ht="47" customHeight="1">
      <x:c r="A14" s="30" t="str">
        <x:v>WP02</x:v>
      </x:c>
      <x:c r="B14" s="30" t="str">
        <x:v>独立工作台与画布</x:v>
      </x:c>
      <x:c r="C14" s="30" t="n">
        <x:f>COUNTIF('实施任务'!$B$6:$B$55,A14)</x:f>
        <x:v>7</x:v>
      </x:c>
      <x:c r="D14" s="30" t="n">
        <x:f>COUNTIFS('实施任务'!$B$6:$B$55,A14,'实施任务'!$J$6:$J$55,"通过")</x:f>
        <x:v>0</x:v>
      </x:c>
      <x:c r="E14" s="30" t="n">
        <x:f>C14-D14</x:f>
        <x:v>7</x:v>
      </x:c>
      <x:c r="F14" s="30" t="n">
        <x:f>COUNTIF('交互追踪'!$E$6:$E$265,"T11")+COUNTIF('交互追踪'!$E$6:$E$265,"T12")+COUNTIF('交互追踪'!$E$6:$E$265,"T13")+COUNTIF('交互追踪'!$E$6:$E$265,"T14")+COUNTIF('交互追踪'!$E$6:$E$265,"T15")+COUNTIF('交互追踪'!$E$6:$E$265,"T16")+COUNTIF('交互追踪'!$E$6:$E$265,"T17")</x:f>
        <x:v>102</x:v>
      </x:c>
      <x:c r="G14" s="54" t="n">
        <x:f>IF(C14=0,0,D14/C14)</x:f>
        <x:v>0</x:v>
      </x:c>
      <x:c r="H14" s="30" t="str">
        <x:v>独立工作台、画布、素材与提示词库</x:v>
      </x:c>
    </x:row>
    <x:row r="15" ht="47" customHeight="1">
      <x:c r="A15" s="30" t="str">
        <x:v>WP03</x:v>
      </x:c>
      <x:c r="B15" s="30" t="str">
        <x:v>本地提示词生成</x:v>
      </x:c>
      <x:c r="C15" s="30" t="n">
        <x:f>COUNTIF('实施任务'!$B$6:$B$55,A15)</x:f>
        <x:v>5</x:v>
      </x:c>
      <x:c r="D15" s="30" t="n">
        <x:f>COUNTIFS('实施任务'!$B$6:$B$55,A15,'实施任务'!$J$6:$J$55,"通过")</x:f>
        <x:v>0</x:v>
      </x:c>
      <x:c r="E15" s="30" t="n">
        <x:f>C15-D15</x:f>
        <x:v>5</x:v>
      </x:c>
      <x:c r="F15" s="30" t="n">
        <x:f>COUNTIF('交互追踪'!$E$6:$E$265,"T18")+COUNTIF('交互追踪'!$E$6:$E$265,"T19")+COUNTIF('交互追踪'!$E$6:$E$265,"T20")+COUNTIF('交互追踪'!$E$6:$E$265,"T21")+COUNTIF('交互追踪'!$E$6:$E$265,"T22")</x:f>
        <x:v>26</x:v>
      </x:c>
      <x:c r="G15" s="54" t="n">
        <x:f>IF(C15=0,0,D15/C15)</x:f>
        <x:v>0</x:v>
      </x:c>
      <x:c r="H15" s="30" t="str">
        <x:v>离线规则、约束、草稿与画布插入</x:v>
      </x:c>
    </x:row>
    <x:row r="16" ht="47" customHeight="1">
      <x:c r="A16" s="30" t="str">
        <x:v>WP04</x:v>
      </x:c>
      <x:c r="B16" s="30" t="str">
        <x:v>Core 协议与受控执行</x:v>
      </x:c>
      <x:c r="C16" s="30" t="n">
        <x:f>COUNTIF('实施任务'!$B$6:$B$55,A16)</x:f>
        <x:v>10</x:v>
      </x:c>
      <x:c r="D16" s="30" t="n">
        <x:f>COUNTIFS('实施任务'!$B$6:$B$55,A16,'实施任务'!$J$6:$J$55,"通过")</x:f>
        <x:v>0</x:v>
      </x:c>
      <x:c r="E16" s="30" t="n">
        <x:f>C16-D16</x:f>
        <x:v>10</x:v>
      </x:c>
      <x:c r="F16" s="30" t="n">
        <x:f>COUNTIF('交互追踪'!$E$6:$E$265,"T23")+COUNTIF('交互追踪'!$E$6:$E$265,"T24")+COUNTIF('交互追踪'!$E$6:$E$265,"T25")+COUNTIF('交互追踪'!$E$6:$E$265,"T26")+COUNTIF('交互追踪'!$E$6:$E$265,"T27")+COUNTIF('交互追踪'!$E$6:$E$265,"T28")+COUNTIF('交互追踪'!$E$6:$E$265,"T29")+COUNTIF('交互追踪'!$E$6:$E$265,"T30")+COUNTIF('交互追踪'!$E$6:$E$265,"T31")+COUNTIF('交互追踪'!$E$6:$E$265,"T32")</x:f>
        <x:v>33</x:v>
      </x:c>
      <x:c r="G16" s="54" t="n">
        <x:f>IF(C16=0,0,D16/C16)</x:f>
        <x:v>0</x:v>
      </x:c>
      <x:c r="H16" s="30" t="str">
        <x:v>Core视频、文字、幂等与任务恢复</x:v>
      </x:c>
    </x:row>
    <x:row r="17" ht="47" customHeight="1">
      <x:c r="A17" s="30" t="str">
        <x:v>WP05</x:v>
      </x:c>
      <x:c r="B17" s="30" t="str">
        <x:v>结果、备份与恢复</x:v>
      </x:c>
      <x:c r="C17" s="30" t="n">
        <x:f>COUNTIF('实施任务'!$B$6:$B$55,A17)</x:f>
        <x:v>6</x:v>
      </x:c>
      <x:c r="D17" s="30" t="n">
        <x:f>COUNTIFS('实施任务'!$B$6:$B$55,A17,'实施任务'!$J$6:$J$55,"通过")</x:f>
        <x:v>0</x:v>
      </x:c>
      <x:c r="E17" s="30" t="n">
        <x:f>C17-D17</x:f>
        <x:v>6</x:v>
      </x:c>
      <x:c r="F17" s="30" t="n">
        <x:f>COUNTIF('交互追踪'!$E$6:$E$265,"T33")+COUNTIF('交互追踪'!$E$6:$E$265,"T34")+COUNTIF('交互追踪'!$E$6:$E$265,"T35")+COUNTIF('交互追踪'!$E$6:$E$265,"T36")+COUNTIF('交互追踪'!$E$6:$E$265,"T37")+COUNTIF('交互追踪'!$E$6:$E$265,"T38")</x:f>
        <x:v>62</x:v>
      </x:c>
      <x:c r="G17" s="54" t="n">
        <x:f>IF(C17=0,0,D17/C17)</x:f>
        <x:v>0</x:v>
      </x:c>
      <x:c r="H17" s="30" t="str">
        <x:v>审片、版本比较、备份与故障恢复</x:v>
      </x:c>
    </x:row>
    <x:row r="18" ht="47" customHeight="1">
      <x:c r="A18" s="30" t="str">
        <x:v>WP06</x:v>
      </x:c>
      <x:c r="B18" s="30" t="str">
        <x:v>Agent 协作</x:v>
      </x:c>
      <x:c r="C18" s="30" t="n">
        <x:f>COUNTIF('实施任务'!$B$6:$B$55,A18)</x:f>
        <x:v>4</x:v>
      </x:c>
      <x:c r="D18" s="30" t="n">
        <x:f>COUNTIFS('实施任务'!$B$6:$B$55,A18,'实施任务'!$J$6:$J$55,"通过")</x:f>
        <x:v>0</x:v>
      </x:c>
      <x:c r="E18" s="30" t="n">
        <x:f>C18-D18</x:f>
        <x:v>4</x:v>
      </x:c>
      <x:c r="F18" s="30" t="n">
        <x:f>COUNTIF('交互追踪'!$E$6:$E$265,"T39")+COUNTIF('交互追踪'!$E$6:$E$265,"T40")+COUNTIF('交互追踪'!$E$6:$E$265,"T41")+COUNTIF('交互追踪'!$E$6:$E$265,"T42")</x:f>
        <x:v>16</x:v>
      </x:c>
      <x:c r="G18" s="54" t="n">
        <x:f>IF(C18=0,0,D18/C18)</x:f>
        <x:v>0</x:v>
      </x:c>
      <x:c r="H18" s="30" t="str">
        <x:v>本机连接、提案审阅、统一执行</x:v>
      </x:c>
    </x:row>
    <x:row r="19" ht="47" customHeight="1">
      <x:c r="A19" s="30" t="str">
        <x:v>WP07</x:v>
      </x:c>
      <x:c r="B19" s="30" t="str">
        <x:v>全量验收与安全加固</x:v>
      </x:c>
      <x:c r="C19" s="30" t="n">
        <x:f>COUNTIF('实施任务'!$B$6:$B$55,A19)</x:f>
        <x:v>4</x:v>
      </x:c>
      <x:c r="D19" s="30" t="n">
        <x:f>COUNTIFS('实施任务'!$B$6:$B$55,A19,'实施任务'!$J$6:$J$55,"通过")</x:f>
        <x:v>0</x:v>
      </x:c>
      <x:c r="E19" s="30" t="n">
        <x:f>C19-D19</x:f>
        <x:v>4</x:v>
      </x:c>
      <x:c r="F19" s="30" t="n">
        <x:f>COUNTIF('交互追踪'!$E$6:$E$265,"T43")+COUNTIF('交互追踪'!$E$6:$E$265,"T44")+COUNTIF('交互追踪'!$E$6:$E$265,"T45")+COUNTIF('交互追踪'!$E$6:$E$265,"T46")</x:f>
        <x:v>10</x:v>
      </x:c>
      <x:c r="G19" s="54" t="n">
        <x:f>IF(C19=0,0,D19/C19)</x:f>
        <x:v>0</x:v>
      </x:c>
      <x:c r="H19" s="30" t="str">
        <x:v>260项回归、安全、无障碍与性能</x:v>
      </x:c>
    </x:row>
    <x:row r="20" ht="47" customHeight="1">
      <x:c r="A20" s="30" t="str">
        <x:v>WP08</x:v>
      </x:c>
      <x:c r="B20" s="30" t="str">
        <x:v>发布、实测与交接</x:v>
      </x:c>
      <x:c r="C20" s="30" t="n">
        <x:f>COUNTIF('实施任务'!$B$6:$B$55,A20)</x:f>
        <x:v>4</x:v>
      </x:c>
      <x:c r="D20" s="30" t="n">
        <x:f>COUNTIFS('实施任务'!$B$6:$B$55,A20,'实施任务'!$J$6:$J$55,"通过")</x:f>
        <x:v>0</x:v>
      </x:c>
      <x:c r="E20" s="30" t="n">
        <x:f>C20-D20</x:f>
        <x:v>4</x:v>
      </x:c>
      <x:c r="F20" s="30" t="n">
        <x:f>COUNTIF('交互追踪'!$E$6:$E$265,"T47")+COUNTIF('交互追踪'!$E$6:$E$265,"T48")+COUNTIF('交互追踪'!$E$6:$E$265,"T49")+COUNTIF('交互追踪'!$E$6:$E$265,"T50")</x:f>
        <x:v>1</x:v>
      </x:c>
      <x:c r="G20" s="54" t="n">
        <x:f>IF(C20=0,0,D20/C20)</x:f>
        <x:v>0</x:v>
      </x:c>
      <x:c r="H20" s="30" t="str">
        <x:v>独立发布、授权联调、升级和终审</x:v>
      </x:c>
    </x:row>
    <x:row r="21" ht="30" customHeight="1">
      <x:c r="A21" s="57" t="str">
        <x:v>合计</x:v>
      </x:c>
      <x:c r="B21" s="57"/>
      <x:c r="C21" s="57" t="n">
        <x:f>SUM(C12:C20)</x:f>
        <x:v>50</x:v>
      </x:c>
      <x:c r="D21" s="57" t="n">
        <x:f>SUM(D12:D20)</x:f>
        <x:v>0</x:v>
      </x:c>
      <x:c r="E21" s="57" t="n">
        <x:f>SUM(E12:E20)</x:f>
        <x:v>50</x:v>
      </x:c>
      <x:c r="F21" s="57" t="n">
        <x:f>SUM(F12:F20)</x:f>
        <x:v>260</x:v>
      </x:c>
      <x:c r="G21" s="58" t="n">
        <x:f>IF(C21=0,0,D21/C21)</x:f>
        <x:v>0</x:v>
      </x:c>
      <x:c r="H21" s="57"/>
    </x:row>
    <x:row r="22">
      <x:c r="A22" s="30"/>
      <x:c r="B22" s="30"/>
      <x:c r="C22" s="30"/>
      <x:c r="D22" s="30"/>
      <x:c r="E22" s="30"/>
      <x:c r="F22" s="30"/>
      <x:c r="G22" s="30"/>
      <x:c r="H22" s="30"/>
    </x:row>
    <x:row r="23" ht="28" customHeight="1">
      <x:c r="A23" s="30" t="str">
        <x:v>页面/面板</x:v>
      </x:c>
      <x:c r="B23" s="30" t="n">
        <x:f>COUNTIF('页面与弹窗'!B6:B58,"页面/面板")</x:f>
        <x:v>23</x:v>
      </x:c>
      <x:c r="C23" s="30"/>
      <x:c r="D23" s="42" t="str">
        <x:v>执行配置：单一代理 GPT6.1 sol high，等待宿主真实模型与high档位回执。没有启动代理，也未写入用户电脑的TRAEWORK目录。</x:v>
      </x:c>
      <x:c r="E23" s="42"/>
      <x:c r="F23" s="42"/>
      <x:c r="G23" s="42"/>
      <x:c r="H23" s="42"/>
    </x:row>
    <x:row r="24" ht="28" customHeight="1">
      <x:c r="A24" s="30" t="str">
        <x:v>弹窗</x:v>
      </x:c>
      <x:c r="B24" s="30" t="n">
        <x:f>COUNTIF('页面与弹窗'!B6:B58,"弹窗")</x:f>
        <x:v>30</x:v>
      </x:c>
      <x:c r="C24" s="30"/>
      <x:c r="D24" s="42"/>
      <x:c r="E24" s="42"/>
      <x:c r="F24" s="42"/>
      <x:c r="G24" s="42"/>
      <x:c r="H24" s="42"/>
    </x:row>
    <x:row r="25" ht="28" customHeight="1">
      <x:c r="A25" s="30" t="str">
        <x:v>Prompt增补验收</x:v>
      </x:c>
      <x:c r="B25" s="30" t="n">
        <x:f>COUNTA('提示词验收'!A6:A21)</x:f>
        <x:v>16</x:v>
      </x:c>
      <x:c r="C25" s="30"/>
      <x:c r="D25" s="42"/>
      <x:c r="E25" s="42"/>
      <x:c r="F25" s="42"/>
      <x:c r="G25" s="42"/>
      <x:c r="H25" s="42"/>
    </x:row>
    <x:row r="26">
      <x:c r="A26" s="30"/>
      <x:c r="B26" s="30"/>
      <x:c r="C26" s="30"/>
      <x:c r="D26" s="30"/>
      <x:c r="E26" s="30"/>
      <x:c r="F26" s="30"/>
      <x:c r="G26" s="30"/>
      <x:c r="H26" s="30"/>
    </x:row>
    <x:row r="27" ht="23" customHeight="1">
      <x:c r="A27" s="62" t="str">
        <x:v>首次执行固定 T01 → T06：工作区与来源 → 视觉基线 → 测试工具链 → 数据契约 → 事务保存 → 写者与执行锁。</x:v>
      </x:c>
      <x:c r="B27" s="62"/>
      <x:c r="C27" s="62"/>
      <x:c r="D27" s="62"/>
      <x:c r="E27" s="62"/>
      <x:c r="F27" s="62"/>
      <x:c r="G27" s="62"/>
      <x:c r="H27" s="62"/>
    </x:row>
    <x:row r="28" ht="23" customHeight="1">
      <x:c r="A28" s="62"/>
      <x:c r="B28" s="62"/>
      <x:c r="C28" s="62"/>
      <x:c r="D28" s="62"/>
      <x:c r="E28" s="62"/>
      <x:c r="F28" s="62"/>
      <x:c r="G28" s="62"/>
      <x:c r="H28" s="62"/>
    </x:row>
    <x:row r="29">
      <x:c r="A29" s="30"/>
      <x:c r="B29" s="30"/>
      <x:c r="C29" s="30"/>
      <x:c r="D29" s="30"/>
      <x:c r="E29" s="30"/>
      <x:c r="F29" s="30"/>
      <x:c r="G29" s="30"/>
      <x:c r="H29" s="30"/>
    </x:row>
    <x:row r="30" ht="23" customHeight="1">
      <x:c r="A30" s="64" t="str">
        <x:v>安全界限：所有生成经Core；Key仅标签页内存；未知提交不重发；文字与视频分别确认；源许可保留；条件功能不冒充已实现。</x:v>
      </x:c>
      <x:c r="B30" s="64"/>
      <x:c r="C30" s="64"/>
      <x:c r="D30" s="64"/>
      <x:c r="E30" s="64"/>
      <x:c r="F30" s="64"/>
      <x:c r="G30" s="64"/>
      <x:c r="H30" s="64"/>
    </x:row>
    <x:row r="31" ht="23" customHeight="1">
      <x:c r="A31" s="64"/>
      <x:c r="B31" s="64"/>
      <x:c r="C31" s="64"/>
      <x:c r="D31" s="64"/>
      <x:c r="E31" s="64"/>
      <x:c r="F31" s="64"/>
      <x:c r="G31" s="64"/>
      <x:c r="H31" s="64"/>
    </x:row>
    <x:row r="32">
      <x:c r="A32" s="30"/>
      <x:c r="B32" s="30"/>
      <x:c r="C32" s="30"/>
      <x:c r="D32" s="30"/>
      <x:c r="E32" s="30"/>
      <x:c r="F32" s="30"/>
      <x:c r="G32" s="30"/>
      <x:c r="H32" s="30"/>
    </x:row>
    <x:row r="33" ht="23" customHeight="1">
      <x:c r="A33" s="62" t="str">
        <x:v>更新规则：执行人填写实施状态和证据，审查者填写验收状态。没有命令输出、提交编号和真实回归证据，不得填“通过”。</x:v>
      </x:c>
      <x:c r="B33" s="62"/>
      <x:c r="C33" s="62"/>
      <x:c r="D33" s="62"/>
      <x:c r="E33" s="62"/>
      <x:c r="F33" s="62"/>
      <x:c r="G33" s="62"/>
      <x:c r="H33" s="62"/>
    </x:row>
    <x:row r="34" ht="23" customHeight="1">
      <x:c r="A34" s="62"/>
      <x:c r="B34" s="62"/>
      <x:c r="C34" s="62"/>
      <x:c r="D34" s="62"/>
      <x:c r="E34" s="62"/>
      <x:c r="F34" s="62"/>
      <x:c r="G34" s="62"/>
      <x:c r="H34" s="62"/>
    </x:row>
    <x:row r="35">
      <x:c r="A35" s="30"/>
      <x:c r="B35" s="30"/>
      <x:c r="C35" s="30"/>
      <x:c r="D35" s="30"/>
      <x:c r="E35" s="30"/>
      <x:c r="F35" s="30"/>
      <x:c r="G35" s="30"/>
      <x:c r="H35" s="30"/>
    </x:row>
    <x:row r="36" ht="23" customHeight="1">
      <x:c r="A36" s="64" t="str">
        <x:v>计划文件：docs/superpowers/plans/2026-09-30-aiwork-studio-implementation-plan.md；可读入口见同目录HTML；详细来源在“来源与基线”。</x:v>
      </x:c>
      <x:c r="B36" s="64"/>
      <x:c r="C36" s="64"/>
      <x:c r="D36" s="64"/>
      <x:c r="E36" s="64"/>
      <x:c r="F36" s="64"/>
      <x:c r="G36" s="64"/>
      <x:c r="H36" s="64"/>
    </x:row>
    <x:row r="37" ht="23" customHeight="1">
      <x:c r="A37" s="64"/>
      <x:c r="B37" s="64"/>
      <x:c r="C37" s="64"/>
      <x:c r="D37" s="64"/>
      <x:c r="E37" s="64"/>
      <x:c r="F37" s="64"/>
      <x:c r="G37" s="64"/>
      <x:c r="H37" s="64"/>
    </x:row>
  </x:sheetData>
  <x:mergeCells>
    <x:mergeCell ref="A1:H2"/>
    <x:mergeCell ref="A3:H3"/>
    <x:mergeCell ref="A5:B5"/>
    <x:mergeCell ref="A6:B7"/>
    <x:mergeCell ref="C5:D5"/>
    <x:mergeCell ref="C6:D7"/>
    <x:mergeCell ref="E5:F5"/>
    <x:mergeCell ref="E6:F7"/>
    <x:mergeCell ref="G5:H5"/>
    <x:mergeCell ref="G6:H7"/>
    <x:mergeCell ref="A9:H9"/>
    <x:mergeCell ref="A21:B21"/>
    <x:mergeCell ref="D23:H25"/>
    <x:mergeCell ref="A27:H28"/>
    <x:mergeCell ref="A30:H31"/>
    <x:mergeCell ref="A33:H34"/>
    <x:mergeCell ref="A36:H37"/>
  </x:mergeCells>
  <x:conditionalFormatting sqref="G12:G20">
    <x:cfRule type="dataBar" priority="1">
      <x:dataBar>
        <x:cfvo type="min"/>
        <x:cfvo type="max"/>
        <x:color rgb="FF147D69"/>
      </x:dataBar>
      <x:extLst>
        <x:ext xmlns:x14="http://schemas.microsoft.com/office/spreadsheetml/2009/9/main" uri="{B025F937-C7B1-47D3-B67F-A62EFF666E3E}">
          <x14:id>{9BFB47AB-F48E-53DF-E161-4C924D031700}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9BFB47AB-F48E-53DF-E161-4C924D031700}">
            <x14:dataBar gradient="1">
              <x14:cfvo type="min"/>
              <x14:cfvo type="max"/>
              <x14:fillColor rgb="FF147D69"/>
            </x14:dataBar>
          </x14:cfRule>
          <xm:sqref>G12:G20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31" hidden="0" customWidth="1"/>
    <x:col min="4" max="4" width="23" hidden="0" customWidth="1"/>
    <x:col min="5" max="5" width="27" hidden="0" customWidth="1"/>
    <x:col min="6" max="6" width="26" hidden="0" customWidth="1"/>
    <x:col min="7" max="7" width="40" hidden="0" customWidth="1"/>
    <x:col min="8" max="8" width="44" hidden="0" customWidth="1"/>
    <x:col min="9" max="9" width="14" hidden="0" customWidth="1"/>
    <x:col min="10" max="10" width="14" hidden="0" customWidth="1"/>
    <x:col min="11" max="11" width="32" hidden="0" customWidth="1"/>
    <x:col min="12" max="12" width="42" hidden="0" customWidth="1"/>
    <x:col min="13" max="13" width="36" hidden="0" customWidth="1"/>
  </x:cols>
  <x:sheetData>
    <x:row r="1" ht="24" customHeight="1">
      <x:c r="A1" s="8" t="str">
        <x:v>50项实施任务 · 独立网页＋提示词生成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24" customHeight="1">
      <x:c r="A2" s="8"/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</x:row>
    <x:row r="3" ht="34" customHeight="1">
      <x:c r="A3" s="14" t="str">
        <x:v>蓝色状态列供执行时更新；通过必须有测试输出与提交证据。任务分解已完成不等于产品实现。</x:v>
      </x:c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  <x:c r="M3" s="14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</x:row>
    <x:row r="5" ht="30" customHeight="1">
      <x:c r="A5" s="20" t="str">
        <x:v>任务ID</x:v>
      </x:c>
      <x:c r="B5" s="20" t="str">
        <x:v>阶段</x:v>
      </x:c>
      <x:c r="C5" s="20" t="str">
        <x:v>交付任务</x:v>
      </x:c>
      <x:c r="D5" s="20" t="str">
        <x:v>前置任务</x:v>
      </x:c>
      <x:c r="E5" s="20" t="str">
        <x:v>分支</x:v>
      </x:c>
      <x:c r="F5" s="20" t="str">
        <x:v>指定执行代理</x:v>
      </x:c>
      <x:c r="G5" s="20" t="str">
        <x:v>主文件</x:v>
      </x:c>
      <x:c r="H5" s="20" t="str">
        <x:v>主要验证命令</x:v>
      </x:c>
      <x:c r="I5" s="20" t="str">
        <x:v>实施状态</x:v>
      </x:c>
      <x:c r="J5" s="20" t="str">
        <x:v>验收状态</x:v>
      </x:c>
      <x:c r="K5" s="20" t="str">
        <x:v>证据路径/提交</x:v>
      </x:c>
      <x:c r="L5" s="20" t="str">
        <x:v>开放门槛</x:v>
      </x:c>
      <x:c r="M5" s="20" t="str">
        <x:v>交互编号</x:v>
      </x:c>
    </x:row>
    <x:row r="6" ht="86" customHeight="1">
      <x:c r="A6" s="24" t="str">
        <x:v>T01</x:v>
      </x:c>
      <x:c r="B6" s="24" t="str">
        <x:v>WP00</x:v>
      </x:c>
      <x:c r="C6" s="24" t="str">
        <x:v>冻结来源、目录与重构范围</x:v>
      </x:c>
      <x:c r="D6" s="24" t="str">
        <x:v>无</x:v>
      </x:c>
      <x:c r="E6" s="24" t="str">
        <x:v>feat/aiwork-studio</x:v>
      </x:c>
      <x:c r="F6" s="24" t="str">
        <x:v>GPT6.1 sol high（待宿主核验）</x:v>
      </x:c>
      <x:c r="G6" s="24" t="str">
        <x:v>docs/review/source-manifest.json</x:v>
      </x:c>
      <x:c r="H6" s="24" t="str">
        <x:v>node --test tests/planning/source-policy.test.mjs</x:v>
      </x:c>
      <x:c r="I6" s="26" t="str">
        <x:v>未开始</x:v>
      </x:c>
      <x:c r="J6" s="26" t="str">
        <x:v>未验证</x:v>
      </x:c>
      <x:c r="K6" s="24" t="str"/>
      <x:c r="L6" s="24" t="str">
        <x:v>执行入口必须确认工作区；读取来源失败可继续原创规格核对，不把失败称为已克隆。</x:v>
      </x:c>
      <x:c r="M6" s="24" t="str"/>
    </x:row>
    <x:row r="7" ht="86" customHeight="1">
      <x:c r="A7" s="24" t="str">
        <x:v>T02</x:v>
      </x:c>
      <x:c r="B7" s="24" t="str">
        <x:v>WP00</x:v>
      </x:c>
      <x:c r="C7" s="24" t="str">
        <x:v>关键视觉与交互状态收口</x:v>
      </x:c>
      <x:c r="D7" s="24" t="str">
        <x:v>T01</x:v>
      </x:c>
      <x:c r="E7" s="24" t="str">
        <x:v>feat/aiwork-studio</x:v>
      </x:c>
      <x:c r="F7" s="24" t="str">
        <x:v>GPT6.1 sol high（待宿主核验）</x:v>
      </x:c>
      <x:c r="G7" s="24" t="str">
        <x:v>docs/design/visual-review.html</x:v>
      </x:c>
      <x:c r="H7" s="24" t="str">
        <x:v>node --test tests/planning/visual-baseline.test.mjs</x:v>
      </x:c>
      <x:c r="I7" s="26" t="str">
        <x:v>未开始</x:v>
      </x:c>
      <x:c r="J7" s="26" t="str">
        <x:v>未验证</x:v>
      </x:c>
      <x:c r="K7" s="24" t="str"/>
      <x:c r="L7" s="24" t="str">
        <x:v>未完成关键状态评审的模块不能迁入产品界面；不因此回退到重新讨论已批准的产品范围。</x:v>
      </x:c>
      <x:c r="M7" s="24" t="str"/>
    </x:row>
    <x:row r="8" ht="86" customHeight="1">
      <x:c r="A8" s="24" t="str">
        <x:v>T03</x:v>
      </x:c>
      <x:c r="B8" s="24" t="str">
        <x:v>WP00</x:v>
      </x:c>
      <x:c r="C8" s="24" t="str">
        <x:v>建立隔离工程与可阻断回归工具链</x:v>
      </x:c>
      <x:c r="D8" s="24" t="str">
        <x:v>T01、T02</x:v>
      </x:c>
      <x:c r="E8" s="24" t="str">
        <x:v>feat/aiwork-studio</x:v>
      </x:c>
      <x:c r="F8" s="24" t="str">
        <x:v>GPT6.1 sol high（待宿主核验）</x:v>
      </x:c>
      <x:c r="G8" s="24" t="str">
        <x:v>package.json</x:v>
      </x:c>
      <x:c r="H8" s="24" t="str">
        <x:v>node --test tests/planning/test-harness.test.mjs</x:v>
      </x:c>
      <x:c r="I8" s="26" t="str">
        <x:v>未开始</x:v>
      </x:c>
      <x:c r="J8" s="26" t="str">
        <x:v>未验证</x:v>
      </x:c>
      <x:c r="K8" s="24" t="str"/>
      <x:c r="L8" s="24" t="str">
        <x:v>只建新项目，不升级或改动三个业务仓库依赖。</x:v>
      </x:c>
      <x:c r="M8" s="24" t="str"/>
    </x:row>
    <x:row r="9" ht="86" customHeight="1">
      <x:c r="A9" s="24" t="str">
        <x:v>T04</x:v>
      </x:c>
      <x:c r="B9" s="24" t="str">
        <x:v>WP01</x:v>
      </x:c>
      <x:c r="C9" s="24" t="str">
        <x:v>统一领域类型、Schema与输入限制</x:v>
      </x:c>
      <x:c r="D9" s="24" t="str">
        <x:v>T03</x:v>
      </x:c>
      <x:c r="E9" s="24" t="str">
        <x:v>feat/aiwork-studio</x:v>
      </x:c>
      <x:c r="F9" s="24" t="str">
        <x:v>GPT6.1 sol high（待宿主核验）</x:v>
      </x:c>
      <x:c r="G9" s="24" t="str">
        <x:v>src/domain/project.ts</x:v>
      </x:c>
      <x:c r="H9" s="24" t="str">
        <x:v>npm run test:unit -- tests/unit/domain-schema.test.ts</x:v>
      </x:c>
      <x:c r="I9" s="26" t="str">
        <x:v>未开始</x:v>
      </x:c>
      <x:c r="J9" s="26" t="str">
        <x:v>未验证</x:v>
      </x:c>
      <x:c r="K9" s="24" t="str"/>
      <x:c r="L9" s="24" t="str">
        <x:v>类型及签名冻结后下游使用同名契约。</x:v>
      </x:c>
      <x:c r="M9" s="24" t="str"/>
    </x:row>
    <x:row r="10" ht="86" customHeight="1">
      <x:c r="A10" s="24" t="str">
        <x:v>T05</x:v>
      </x:c>
      <x:c r="B10" s="24" t="str">
        <x:v>WP01</x:v>
      </x:c>
      <x:c r="C10" s="24" t="str">
        <x:v>IndexedDB事务保存与可恢复日志</x:v>
      </x:c>
      <x:c r="D10" s="24" t="str">
        <x:v>T04</x:v>
      </x:c>
      <x:c r="E10" s="24" t="str">
        <x:v>feat/aiwork-studio</x:v>
      </x:c>
      <x:c r="F10" s="24" t="str">
        <x:v>GPT6.1 sol high（待宿主核验）</x:v>
      </x:c>
      <x:c r="G10" s="24" t="str">
        <x:v>src/infrastructure/storage/database.ts</x:v>
      </x:c>
      <x:c r="H10" s="24" t="str">
        <x:v>npm run test:unit -- tests/unit/project-store.test.ts</x:v>
      </x:c>
      <x:c r="I10" s="26" t="str">
        <x:v>未开始</x:v>
      </x:c>
      <x:c r="J10" s="26" t="str">
        <x:v>未验证</x:v>
      </x:c>
      <x:c r="K10" s="24" t="str"/>
      <x:c r="L10" s="24" t="str">
        <x:v>依赖任务验收通过。</x:v>
      </x:c>
      <x:c r="M10" s="24" t="str"/>
    </x:row>
    <x:row r="11" ht="86" customHeight="1">
      <x:c r="A11" s="24" t="str">
        <x:v>T06</x:v>
      </x:c>
      <x:c r="B11" s="24" t="str">
        <x:v>WP01</x:v>
      </x:c>
      <x:c r="C11" s="24" t="str">
        <x:v>多标签写者租约与运行单飞锁</x:v>
      </x:c>
      <x:c r="D11" s="24" t="str">
        <x:v>T05</x:v>
      </x:c>
      <x:c r="E11" s="24" t="str">
        <x:v>feat/aiwork-studio</x:v>
      </x:c>
      <x:c r="F11" s="24" t="str">
        <x:v>GPT6.1 sol high（待宿主核验）</x:v>
      </x:c>
      <x:c r="G11" s="24" t="str">
        <x:v>src/infrastructure/storage/project-lease.ts</x:v>
      </x:c>
      <x:c r="H11" s="24" t="str">
        <x:v>npm run test:unit -- tests/unit/project-lease.test.ts</x:v>
      </x:c>
      <x:c r="I11" s="26" t="str">
        <x:v>未开始</x:v>
      </x:c>
      <x:c r="J11" s="26" t="str">
        <x:v>未验证</x:v>
      </x:c>
      <x:c r="K11" s="24" t="str"/>
      <x:c r="L11" s="24" t="str">
        <x:v>依赖任务验收通过。</x:v>
      </x:c>
      <x:c r="M11" s="24" t="str">
        <x:v>F-01, F-02</x:v>
      </x:c>
    </x:row>
    <x:row r="12" ht="86" customHeight="1">
      <x:c r="A12" s="24" t="str">
        <x:v>T07</x:v>
      </x:c>
      <x:c r="B12" s="24" t="str">
        <x:v>WP01</x:v>
      </x:c>
      <x:c r="C12" s="24" t="str">
        <x:v>本地素材导入、元数据和缩略图</x:v>
      </x:c>
      <x:c r="D12" s="24" t="str">
        <x:v>T05</x:v>
      </x:c>
      <x:c r="E12" s="24" t="str">
        <x:v>feat/aiwork-studio</x:v>
      </x:c>
      <x:c r="F12" s="24" t="str">
        <x:v>GPT6.1 sol high（待宿主核验）</x:v>
      </x:c>
      <x:c r="G12" s="24" t="str">
        <x:v>src/features/assets/import-service.ts</x:v>
      </x:c>
      <x:c r="H12" s="24" t="str">
        <x:v>npm run test:unit -- tests/unit/asset-import.test.ts</x:v>
      </x:c>
      <x:c r="I12" s="26" t="str">
        <x:v>未开始</x:v>
      </x:c>
      <x:c r="J12" s="26" t="str">
        <x:v>未验证</x:v>
      </x:c>
      <x:c r="K12" s="24" t="str"/>
      <x:c r="L12" s="24" t="str">
        <x:v>依赖任务验收通过。</x:v>
      </x:c>
      <x:c r="M12" s="24" t="str">
        <x:v>M-01, M-02</x:v>
      </x:c>
    </x:row>
    <x:row r="13" ht="86" customHeight="1">
      <x:c r="A13" s="24" t="str">
        <x:v>T08</x:v>
      </x:c>
      <x:c r="B13" s="24" t="str">
        <x:v>WP01</x:v>
      </x:c>
      <x:c r="C13" s="24" t="str">
        <x:v>引用计数、软删除与任务证据保留</x:v>
      </x:c>
      <x:c r="D13" s="24" t="str">
        <x:v>T05、T07</x:v>
      </x:c>
      <x:c r="E13" s="24" t="str">
        <x:v>feat/aiwork-studio</x:v>
      </x:c>
      <x:c r="F13" s="24" t="str">
        <x:v>GPT6.1 sol high（待宿主核验）</x:v>
      </x:c>
      <x:c r="G13" s="24" t="str">
        <x:v>src/features/assets/reference-index.ts</x:v>
      </x:c>
      <x:c r="H13" s="24" t="str">
        <x:v>npm run test:unit -- tests/unit/asset-retention.test.ts</x:v>
      </x:c>
      <x:c r="I13" s="26" t="str">
        <x:v>未开始</x:v>
      </x:c>
      <x:c r="J13" s="26" t="str">
        <x:v>未验证</x:v>
      </x:c>
      <x:c r="K13" s="24" t="str"/>
      <x:c r="L13" s="24" t="str">
        <x:v>依赖任务验收通过。</x:v>
      </x:c>
      <x:c r="M13" s="24" t="str">
        <x:v>M-12, D-07, D-08</x:v>
      </x:c>
    </x:row>
    <x:row r="14" ht="86" customHeight="1">
      <x:c r="A14" s="24" t="str">
        <x:v>T09</x:v>
      </x:c>
      <x:c r="B14" s="24" t="str">
        <x:v>WP01</x:v>
      </x:c>
      <x:c r="C14" s="24" t="str">
        <x:v>Core凭据会话与脱敏边界</x:v>
      </x:c>
      <x:c r="D14" s="24" t="str">
        <x:v>T04、T05</x:v>
      </x:c>
      <x:c r="E14" s="24" t="str">
        <x:v>feat/aiwork-studio</x:v>
      </x:c>
      <x:c r="F14" s="24" t="str">
        <x:v>GPT6.1 sol high（待宿主核验）</x:v>
      </x:c>
      <x:c r="G14" s="24" t="str">
        <x:v>src/security/credential-session.ts</x:v>
      </x:c>
      <x:c r="H14" s="24" t="str">
        <x:v>npm run test:unit -- tests/unit/credential-session.test.ts</x:v>
      </x:c>
      <x:c r="I14" s="26" t="str">
        <x:v>未开始</x:v>
      </x:c>
      <x:c r="J14" s="26" t="str">
        <x:v>未验证</x:v>
      </x:c>
      <x:c r="K14" s="24" t="str"/>
      <x:c r="L14" s="24" t="str">
        <x:v>依赖任务验收通过。</x:v>
      </x:c>
      <x:c r="M14" s="24" t="str">
        <x:v>J-11, K-04, K-05</x:v>
      </x:c>
    </x:row>
    <x:row r="15" ht="86" customHeight="1">
      <x:c r="A15" s="24" t="str">
        <x:v>T10</x:v>
      </x:c>
      <x:c r="B15" s="24" t="str">
        <x:v>WP01</x:v>
      </x:c>
      <x:c r="C15" s="24" t="str">
        <x:v>统一命令、修订与撤销重做</x:v>
      </x:c>
      <x:c r="D15" s="24" t="str">
        <x:v>T04、T05、T06、T08</x:v>
      </x:c>
      <x:c r="E15" s="24" t="str">
        <x:v>feat/aiwork-studio</x:v>
      </x:c>
      <x:c r="F15" s="24" t="str">
        <x:v>GPT6.1 sol high（待宿主核验）</x:v>
      </x:c>
      <x:c r="G15" s="24" t="str">
        <x:v>src/application/commands/registry.ts</x:v>
      </x:c>
      <x:c r="H15" s="24" t="str">
        <x:v>npm run test:unit -- tests/unit/project-commands.test.ts</x:v>
      </x:c>
      <x:c r="I15" s="26" t="str">
        <x:v>未开始</x:v>
      </x:c>
      <x:c r="J15" s="26" t="str">
        <x:v>未验证</x:v>
      </x:c>
      <x:c r="K15" s="24" t="str"/>
      <x:c r="L15" s="24" t="str">
        <x:v>依赖任务验收通过。</x:v>
      </x:c>
      <x:c r="M15" s="24" t="str"/>
    </x:row>
    <x:row r="16" ht="86" customHeight="1">
      <x:c r="A16" s="24" t="str">
        <x:v>T11</x:v>
      </x:c>
      <x:c r="B16" s="24" t="str">
        <x:v>WP02</x:v>
      </x:c>
      <x:c r="C16" s="24" t="str">
        <x:v>应用导航、引导、通用控件与自有品牌</x:v>
      </x:c>
      <x:c r="D16" s="24" t="str">
        <x:v>T02、T03、T09、T10</x:v>
      </x:c>
      <x:c r="E16" s="24" t="str">
        <x:v>feat/aiwork-studio</x:v>
      </x:c>
      <x:c r="F16" s="24" t="str">
        <x:v>GPT6.1 sol high（待宿主核验）</x:v>
      </x:c>
      <x:c r="G16" s="24" t="str">
        <x:v>src/app/App.tsx</x:v>
      </x:c>
      <x:c r="H16" s="24" t="str">
        <x:v>npm run test:e2e -- tests/e2e/app-shell.spec.ts</x:v>
      </x:c>
      <x:c r="I16" s="26" t="str">
        <x:v>未开始</x:v>
      </x:c>
      <x:c r="J16" s="26" t="str">
        <x:v>未验证</x:v>
      </x:c>
      <x:c r="K16" s="24" t="str"/>
      <x:c r="L16" s="24" t="str">
        <x:v>依赖任务验收通过。</x:v>
      </x:c>
      <x:c r="M16" s="24" t="str">
        <x:v>G-01, G-02, G-03, G-04, G-05, G-07, G-08, G-09, G-10, W-01, W-02, W-03, W-04, W-05, W-06</x:v>
      </x:c>
    </x:row>
    <x:row r="17" ht="86" customHeight="1">
      <x:c r="A17" s="24" t="str">
        <x:v>T12</x:v>
      </x:c>
      <x:c r="B17" s="24" t="str">
        <x:v>WP02</x:v>
      </x:c>
      <x:c r="C17" s="24" t="str">
        <x:v>项目主页、模板、归档和回收站</x:v>
      </x:c>
      <x:c r="D17" s="24" t="str">
        <x:v>T08、T11</x:v>
      </x:c>
      <x:c r="E17" s="24" t="str">
        <x:v>feat/aiwork-studio</x:v>
      </x:c>
      <x:c r="F17" s="24" t="str">
        <x:v>GPT6.1 sol high（待宿主核验）</x:v>
      </x:c>
      <x:c r="G17" s="24" t="str">
        <x:v>src/features/projects/ProjectsPage.tsx</x:v>
      </x:c>
      <x:c r="H17" s="24" t="str">
        <x:v>npm run test:e2e -- tests/e2e/project-library.spec.ts</x:v>
      </x:c>
      <x:c r="I17" s="26" t="str">
        <x:v>未开始</x:v>
      </x:c>
      <x:c r="J17" s="26" t="str">
        <x:v>未验证</x:v>
      </x:c>
      <x:c r="K17" s="24" t="str"/>
      <x:c r="L17" s="24" t="str">
        <x:v>依赖任务验收通过。</x:v>
      </x:c>
      <x:c r="M17" s="24" t="str">
        <x:v>P-01, P-02, P-03, P-04, P-05, P-06, P-07, P-08, P-09, P-10, P-11, P-12, P-13, P-14, Z-01, Z-02, Z-03</x:v>
      </x:c>
    </x:row>
    <x:row r="18" ht="86" customHeight="1">
      <x:c r="A18" s="24" t="str">
        <x:v>T13</x:v>
      </x:c>
      <x:c r="B18" s="24" t="str">
        <x:v>WP02</x:v>
      </x:c>
      <x:c r="C18" s="24" t="str">
        <x:v>画布选择、平移、缩放与键盘等价操作</x:v>
      </x:c>
      <x:c r="D18" s="24" t="str">
        <x:v>T10、T11、T12</x:v>
      </x:c>
      <x:c r="E18" s="24" t="str">
        <x:v>feat/aiwork-studio</x:v>
      </x:c>
      <x:c r="F18" s="24" t="str">
        <x:v>GPT6.1 sol high（待宿主核验）</x:v>
      </x:c>
      <x:c r="G18" s="24" t="str">
        <x:v>src/features/canvas/CanvasPage.tsx</x:v>
      </x:c>
      <x:c r="H18" s="24" t="str">
        <x:v>npm run test:e2e -- tests/e2e/canvas-viewport.spec.ts</x:v>
      </x:c>
      <x:c r="I18" s="26" t="str">
        <x:v>未开始</x:v>
      </x:c>
      <x:c r="J18" s="26" t="str">
        <x:v>未验证</x:v>
      </x:c>
      <x:c r="K18" s="24" t="str"/>
      <x:c r="L18" s="24" t="str">
        <x:v>依赖任务验收通过。</x:v>
      </x:c>
      <x:c r="M18" s="24" t="str">
        <x:v>C-01, C-02, C-03, C-04, C-05, C-06, C-07, C-08, C-09, C-10, C-11, C-12, C-13, C-14, N-01</x:v>
      </x:c>
    </x:row>
    <x:row r="19" ht="86" customHeight="1">
      <x:c r="A19" s="24" t="str">
        <x:v>T14</x:v>
      </x:c>
      <x:c r="B19" s="24" t="str">
        <x:v>WP02</x:v>
      </x:c>
      <x:c r="C19" s="24" t="str">
        <x:v>五类节点、类型连线和输入检查器</x:v>
      </x:c>
      <x:c r="D19" s="24" t="str">
        <x:v>T04、T07、T10、T13</x:v>
      </x:c>
      <x:c r="E19" s="24" t="str">
        <x:v>feat/aiwork-studio</x:v>
      </x:c>
      <x:c r="F19" s="24" t="str">
        <x:v>GPT6.1 sol high（待宿主核验）</x:v>
      </x:c>
      <x:c r="G19" s="24" t="str">
        <x:v>src/features/canvas/nodes/TextNode.tsx</x:v>
      </x:c>
      <x:c r="H19" s="24" t="str">
        <x:v>npm run test:e2e -- tests/e2e/typed-nodes.spec.ts</x:v>
      </x:c>
      <x:c r="I19" s="26" t="str">
        <x:v>未开始</x:v>
      </x:c>
      <x:c r="J19" s="26" t="str">
        <x:v>未验证</x:v>
      </x:c>
      <x:c r="K19" s="24" t="str"/>
      <x:c r="L19" s="24" t="str">
        <x:v>依赖任务验收通过。</x:v>
      </x:c>
      <x:c r="M19" s="24" t="str">
        <x:v>N-02, N-13, N-14, N-15, N-16, T-01, T-02, T-03, T-04, V-01, V-02, V-03, V-04, V-05, V-06, V-07</x:v>
      </x:c>
    </x:row>
    <x:row r="20" ht="86" customHeight="1">
      <x:c r="A20" s="24" t="str">
        <x:v>T15</x:v>
      </x:c>
      <x:c r="B20" s="24" t="str">
        <x:v>WP02</x:v>
      </x:c>
      <x:c r="C20" s="24" t="str">
        <x:v>节点菜单、分组、分支与布局</x:v>
      </x:c>
      <x:c r="D20" s="24" t="str">
        <x:v>T10、T13、T14</x:v>
      </x:c>
      <x:c r="E20" s="24" t="str">
        <x:v>feat/aiwork-studio</x:v>
      </x:c>
      <x:c r="F20" s="24" t="str">
        <x:v>GPT6.1 sol high（待宿主核验）</x:v>
      </x:c>
      <x:c r="G20" s="24" t="str">
        <x:v>src/features/canvas/NodeMenu.tsx</x:v>
      </x:c>
      <x:c r="H20" s="24" t="str">
        <x:v>npm run test:e2e -- tests/e2e/canvas-layout.spec.ts</x:v>
      </x:c>
      <x:c r="I20" s="26" t="str">
        <x:v>未开始</x:v>
      </x:c>
      <x:c r="J20" s="26" t="str">
        <x:v>未验证</x:v>
      </x:c>
      <x:c r="K20" s="24" t="str"/>
      <x:c r="L20" s="24" t="str">
        <x:v>依赖任务验收通过。</x:v>
      </x:c>
      <x:c r="M20" s="24" t="str">
        <x:v>C-20, N-03, N-04, N-05, N-06, N-07, N-08, N-09, N-10, N-11, N-12, N-17, N-18, N-19</x:v>
      </x:c>
    </x:row>
    <x:row r="21" ht="86" customHeight="1">
      <x:c r="A21" s="24" t="str">
        <x:v>T16</x:v>
      </x:c>
      <x:c r="B21" s="24" t="str">
        <x:v>WP02</x:v>
      </x:c>
      <x:c r="C21" s="24" t="str">
        <x:v>素材库、预览和重新关联</x:v>
      </x:c>
      <x:c r="D21" s="24" t="str">
        <x:v>T07、T08、T11、T14</x:v>
      </x:c>
      <x:c r="E21" s="24" t="str">
        <x:v>feat/aiwork-studio</x:v>
      </x:c>
      <x:c r="F21" s="24" t="str">
        <x:v>GPT6.1 sol high（待宿主核验）</x:v>
      </x:c>
      <x:c r="G21" s="24" t="str">
        <x:v>src/features/assets/AssetsPage.tsx</x:v>
      </x:c>
      <x:c r="H21" s="24" t="str">
        <x:v>npm run test:e2e -- tests/e2e/asset-library.spec.ts</x:v>
      </x:c>
      <x:c r="I21" s="26" t="str">
        <x:v>未开始</x:v>
      </x:c>
      <x:c r="J21" s="26" t="str">
        <x:v>未验证</x:v>
      </x:c>
      <x:c r="K21" s="24" t="str"/>
      <x:c r="L21" s="24" t="str">
        <x:v>依赖任务验收通过。</x:v>
      </x:c>
      <x:c r="M21" s="24" t="str">
        <x:v>M-03, M-04, M-05, M-06, M-07, M-08, M-09, M-10, M-11, M-13, M-14, M-15</x:v>
      </x:c>
    </x:row>
    <x:row r="22" ht="86" customHeight="1">
      <x:c r="A22" s="24" t="str">
        <x:v>T17</x:v>
      </x:c>
      <x:c r="B22" s="24" t="str">
        <x:v>WP02</x:v>
      </x:c>
      <x:c r="C22" s="24" t="str">
        <x:v>提示词库、模板变量与本地搜索</x:v>
      </x:c>
      <x:c r="D22" s="24" t="str">
        <x:v>T05、T10、T11、T14</x:v>
      </x:c>
      <x:c r="E22" s="24" t="str">
        <x:v>feat/aiwork-studio</x:v>
      </x:c>
      <x:c r="F22" s="24" t="str">
        <x:v>GPT6.1 sol high（待宿主核验）</x:v>
      </x:c>
      <x:c r="G22" s="24" t="str">
        <x:v>src/features/prompts/PromptsPage.tsx</x:v>
      </x:c>
      <x:c r="H22" s="24" t="str">
        <x:v>npm run test:e2e -- tests/e2e/prompt-library.spec.ts</x:v>
      </x:c>
      <x:c r="I22" s="26" t="str">
        <x:v>未开始</x:v>
      </x:c>
      <x:c r="J22" s="26" t="str">
        <x:v>未验证</x:v>
      </x:c>
      <x:c r="K22" s="24" t="str"/>
      <x:c r="L22" s="24" t="str">
        <x:v>依赖任务验收通过。</x:v>
      </x:c>
      <x:c r="M22" s="24" t="str">
        <x:v>T-05, L-01, L-02, L-03, L-04, L-05, L-06, L-07, L-08, L-09, L-10, L-11, L-12</x:v>
      </x:c>
    </x:row>
    <x:row r="23" ht="86" customHeight="1">
      <x:c r="A23" s="24" t="str">
        <x:v>T18</x:v>
      </x:c>
      <x:c r="B23" s="24" t="str">
        <x:v>WP03</x:v>
      </x:c>
      <x:c r="C23" s="24" t="str">
        <x:v>抽取本地视频提示词规则</x:v>
      </x:c>
      <x:c r="D23" s="24" t="str">
        <x:v>T03、T04、T17</x:v>
      </x:c>
      <x:c r="E23" s="24" t="str">
        <x:v>feat/prompt-generation</x:v>
      </x:c>
      <x:c r="F23" s="24" t="str">
        <x:v>GPT6.1 sol high（待宿主核验）</x:v>
      </x:c>
      <x:c r="G23" s="24" t="str">
        <x:v>src/domain/prompt-engine/video-scenes.ts</x:v>
      </x:c>
      <x:c r="H23" s="24" t="str">
        <x:v>npm run test:unit -- tests/unit/video-prompt-compiler.test.ts</x:v>
      </x:c>
      <x:c r="I23" s="26" t="str">
        <x:v>未开始</x:v>
      </x:c>
      <x:c r="J23" s="26" t="str">
        <x:v>未验证</x:v>
      </x:c>
      <x:c r="K23" s="24" t="str"/>
      <x:c r="L23" s="24" t="str">
        <x:v>依赖任务验收通过。</x:v>
      </x:c>
      <x:c r="M23" s="24" t="str">
        <x:v>PG04, PG11, PG13, PG14</x:v>
      </x:c>
    </x:row>
    <x:row r="24" ht="86" customHeight="1">
      <x:c r="A24" s="24" t="str">
        <x:v>T19</x:v>
      </x:c>
      <x:c r="B24" s="24" t="str">
        <x:v>WP03</x:v>
      </x:c>
      <x:c r="C24" s="24" t="str">
        <x:v>约束冲突、引用和分镜总时长校验</x:v>
      </x:c>
      <x:c r="D24" s="24" t="str">
        <x:v>T04、T18</x:v>
      </x:c>
      <x:c r="E24" s="24" t="str">
        <x:v>feat/prompt-generation</x:v>
      </x:c>
      <x:c r="F24" s="24" t="str">
        <x:v>GPT6.1 sol high（待宿主核验）</x:v>
      </x:c>
      <x:c r="G24" s="24" t="str">
        <x:v>src/domain/prompt-engine/constraints.ts</x:v>
      </x:c>
      <x:c r="H24" s="24" t="str">
        <x:v>npm run test:unit -- tests/unit/prompt-validation.test.ts</x:v>
      </x:c>
      <x:c r="I24" s="26" t="str">
        <x:v>未开始</x:v>
      </x:c>
      <x:c r="J24" s="26" t="str">
        <x:v>未验证</x:v>
      </x:c>
      <x:c r="K24" s="24" t="str"/>
      <x:c r="L24" s="24" t="str">
        <x:v>依赖任务验收通过。</x:v>
      </x:c>
      <x:c r="M24" s="24" t="str">
        <x:v>PG07, PG08, PG09, PG10, PG12, PG24</x:v>
      </x:c>
    </x:row>
    <x:row r="25" ht="86" customHeight="1">
      <x:c r="A25" s="24" t="str">
        <x:v>T20</x:v>
      </x:c>
      <x:c r="B25" s="24" t="str">
        <x:v>WP03</x:v>
      </x:c>
      <x:c r="C25" s="24" t="str">
        <x:v>提示词草稿、PromptRun与不可变历史</x:v>
      </x:c>
      <x:c r="D25" s="24" t="str">
        <x:v>T05、T09、T18、T19</x:v>
      </x:c>
      <x:c r="E25" s="24" t="str">
        <x:v>feat/prompt-generation</x:v>
      </x:c>
      <x:c r="F25" s="24" t="str">
        <x:v>GPT6.1 sol high（待宿主核验）</x:v>
      </x:c>
      <x:c r="G25" s="24" t="str">
        <x:v>src/features/prompt-generation/draft-repository.ts</x:v>
      </x:c>
      <x:c r="H25" s="24" t="str">
        <x:v>npm run test:unit -- tests/unit/prompt-drafts.test.ts</x:v>
      </x:c>
      <x:c r="I25" s="26" t="str">
        <x:v>未开始</x:v>
      </x:c>
      <x:c r="J25" s="26" t="str">
        <x:v>未验证</x:v>
      </x:c>
      <x:c r="K25" s="24" t="str"/>
      <x:c r="L25" s="24" t="str">
        <x:v>依赖任务验收通过。</x:v>
      </x:c>
      <x:c r="M25" s="24" t="str">
        <x:v>PG03, PG05, PG22, PG27, PG31</x:v>
      </x:c>
    </x:row>
    <x:row r="26" ht="86" customHeight="1">
      <x:c r="A26" s="24" t="str">
        <x:v>T21</x:v>
      </x:c>
      <x:c r="B26" s="24" t="str">
        <x:v>WP03</x:v>
      </x:c>
      <x:c r="C26" s="24" t="str">
        <x:v>提示词工作台、侧栏和历史面板</x:v>
      </x:c>
      <x:c r="D26" s="24" t="str">
        <x:v>T11、T16、T18、T19、T20</x:v>
      </x:c>
      <x:c r="E26" s="24" t="str">
        <x:v>feat/prompt-generation</x:v>
      </x:c>
      <x:c r="F26" s="24" t="str">
        <x:v>GPT6.1 sol high（待宿主核验）</x:v>
      </x:c>
      <x:c r="G26" s="24" t="str">
        <x:v>src/features/prompt-generation/PromptGeneratorPage.tsx</x:v>
      </x:c>
      <x:c r="H26" s="24" t="str">
        <x:v>npm run test:e2e -- tests/e2e/prompt-workspace.spec.ts</x:v>
      </x:c>
      <x:c r="I26" s="26" t="str">
        <x:v>未开始</x:v>
      </x:c>
      <x:c r="J26" s="26" t="str">
        <x:v>未验证</x:v>
      </x:c>
      <x:c r="K26" s="24" t="str"/>
      <x:c r="L26" s="24" t="str">
        <x:v>依赖任务验收通过。</x:v>
      </x:c>
      <x:c r="M26" s="24" t="str">
        <x:v>PG01, PG02, PG06, PG23, PG25, PG32</x:v>
      </x:c>
    </x:row>
    <x:row r="27" ht="86" customHeight="1">
      <x:c r="A27" s="24" t="str">
        <x:v>T22</x:v>
      </x:c>
      <x:c r="B27" s="24" t="str">
        <x:v>WP03</x:v>
      </x:c>
      <x:c r="C27" s="24" t="str">
        <x:v>草稿到画布的原子插入、应用和建流程</x:v>
      </x:c>
      <x:c r="D27" s="24" t="str">
        <x:v>T10、T14、T17、T19、T20、T21</x:v>
      </x:c>
      <x:c r="E27" s="24" t="str">
        <x:v>feat/prompt-generation</x:v>
      </x:c>
      <x:c r="F27" s="24" t="str">
        <x:v>GPT6.1 sol high（待宿主核验）</x:v>
      </x:c>
      <x:c r="G27" s="24" t="str">
        <x:v>src/application/commands/prompt-to-canvas.ts</x:v>
      </x:c>
      <x:c r="H27" s="24" t="str">
        <x:v>npm run test:e2e -- tests/e2e/prompt-canvas-commands.spec.ts</x:v>
      </x:c>
      <x:c r="I27" s="26" t="str">
        <x:v>未开始</x:v>
      </x:c>
      <x:c r="J27" s="26" t="str">
        <x:v>未验证</x:v>
      </x:c>
      <x:c r="K27" s="24" t="str"/>
      <x:c r="L27" s="24" t="str">
        <x:v>依赖任务验收通过。</x:v>
      </x:c>
      <x:c r="M27" s="24" t="str">
        <x:v>T-08, PG26, PG28, PG29, PG30</x:v>
      </x:c>
    </x:row>
    <x:row r="28" ht="86" customHeight="1">
      <x:c r="A28" s="24" t="str">
        <x:v>T23</x:v>
      </x:c>
      <x:c r="B28" s="24" t="str">
        <x:v>WP04</x:v>
      </x:c>
      <x:c r="C28" s="24" t="str">
        <x:v>固定Core公开契约、能力证据与Mock</x:v>
      </x:c>
      <x:c r="D28" s="24" t="str">
        <x:v>T03、T04、T09</x:v>
      </x:c>
      <x:c r="E28" s="24" t="str">
        <x:v>feat/aiwork-studio</x:v>
      </x:c>
      <x:c r="F28" s="24" t="str">
        <x:v>GPT6.1 sol high（待宿主核验）</x:v>
      </x:c>
      <x:c r="G28" s="24" t="str">
        <x:v>src/adapters/core/contracts.ts</x:v>
      </x:c>
      <x:c r="H28" s="24" t="str">
        <x:v>npm run test:unit -- tests/unit/core-contract.test.ts</x:v>
      </x:c>
      <x:c r="I28" s="26" t="str">
        <x:v>未开始</x:v>
      </x:c>
      <x:c r="J28" s="26" t="str">
        <x:v>未验证</x:v>
      </x:c>
      <x:c r="K28" s="24" t="str"/>
      <x:c r="L28" s="24" t="str">
        <x:v>依赖任务验收通过。</x:v>
      </x:c>
      <x:c r="M28" s="24" t="str">
        <x:v>K-08, B-03, B-05</x:v>
      </x:c>
    </x:row>
    <x:row r="29" ht="86" customHeight="1">
      <x:c r="A29" s="24" t="str">
        <x:v>T24</x:v>
      </x:c>
      <x:c r="B29" s="24" t="str">
        <x:v>WP04</x:v>
      </x:c>
      <x:c r="C29" s="24" t="str">
        <x:v>同源HTTP通道、地址规范与请求鉴权</x:v>
      </x:c>
      <x:c r="D29" s="24" t="str">
        <x:v>T09、T23</x:v>
      </x:c>
      <x:c r="E29" s="24" t="str">
        <x:v>feat/aiwork-studio</x:v>
      </x:c>
      <x:c r="F29" s="24" t="str">
        <x:v>GPT6.1 sol high（待宿主核验）</x:v>
      </x:c>
      <x:c r="G29" s="24" t="str">
        <x:v>src/adapters/core/http-client.ts</x:v>
      </x:c>
      <x:c r="H29" s="24" t="str">
        <x:v>npm run test:unit -- tests/unit/core-transport.test.ts</x:v>
      </x:c>
      <x:c r="I29" s="26" t="str">
        <x:v>未开始</x:v>
      </x:c>
      <x:c r="J29" s="26" t="str">
        <x:v>未验证</x:v>
      </x:c>
      <x:c r="K29" s="24" t="str"/>
      <x:c r="L29" s="24" t="str">
        <x:v>依赖任务验收通过。</x:v>
      </x:c>
      <x:c r="M29" s="24" t="str">
        <x:v>K-07, PG16</x:v>
      </x:c>
    </x:row>
    <x:row r="30" ht="86" customHeight="1">
      <x:c r="A30" s="24" t="str">
        <x:v>T25</x:v>
      </x:c>
      <x:c r="B30" s="24" t="str">
        <x:v>WP04</x:v>
      </x:c>
      <x:c r="C30" s="24" t="str">
        <x:v>上传素材映射与最终请求冻结</x:v>
      </x:c>
      <x:c r="D30" s="24" t="str">
        <x:v>T05、T07、T09、T23、T24</x:v>
      </x:c>
      <x:c r="E30" s="24" t="str">
        <x:v>feat/aiwork-studio</x:v>
      </x:c>
      <x:c r="F30" s="24" t="str">
        <x:v>GPT6.1 sol high（待宿主核验）</x:v>
      </x:c>
      <x:c r="G30" s="24" t="str">
        <x:v>src/adapters/core/assets.ts</x:v>
      </x:c>
      <x:c r="H30" s="24" t="str">
        <x:v>npm run test:unit -- tests/unit/prepared-request.test.ts</x:v>
      </x:c>
      <x:c r="I30" s="26" t="str">
        <x:v>未开始</x:v>
      </x:c>
      <x:c r="J30" s="26" t="str">
        <x:v>未验证</x:v>
      </x:c>
      <x:c r="K30" s="24" t="str"/>
      <x:c r="L30" s="24" t="str">
        <x:v>依赖任务验收通过。</x:v>
      </x:c>
      <x:c r="M30" s="24" t="str"/>
    </x:row>
    <x:row r="31" ht="86" customHeight="1">
      <x:c r="A31" s="24" t="str">
        <x:v>T26</x:v>
      </x:c>
      <x:c r="B31" s="24" t="str">
        <x:v>WP04</x:v>
      </x:c>
      <x:c r="C31" s="24" t="str">
        <x:v>预检、费用确认和一次性执行批准</x:v>
      </x:c>
      <x:c r="D31" s="24" t="str">
        <x:v>T10、T14、T23、T25</x:v>
      </x:c>
      <x:c r="E31" s="24" t="str">
        <x:v>feat/aiwork-studio</x:v>
      </x:c>
      <x:c r="F31" s="24" t="str">
        <x:v>GPT6.1 sol high（待宿主核验）</x:v>
      </x:c>
      <x:c r="G31" s="24" t="str">
        <x:v>src/application/runs/preflight.ts</x:v>
      </x:c>
      <x:c r="H31" s="24" t="str">
        <x:v>npm run test:e2e -- tests/e2e/generation-preflight.spec.ts</x:v>
      </x:c>
      <x:c r="I31" s="26" t="str">
        <x:v>未开始</x:v>
      </x:c>
      <x:c r="J31" s="26" t="str">
        <x:v>未验证</x:v>
      </x:c>
      <x:c r="K31" s="24" t="str"/>
      <x:c r="L31" s="24" t="str">
        <x:v>依赖任务验收通过。</x:v>
      </x:c>
      <x:c r="M31" s="24" t="str">
        <x:v>C-15, C-16, V-08, V-10</x:v>
      </x:c>
    </x:row>
    <x:row r="32" ht="86" customHeight="1">
      <x:c r="A32" s="24" t="str">
        <x:v>T27</x:v>
      </x:c>
      <x:c r="B32" s="24" t="str">
        <x:v>WP04</x:v>
      </x:c>
      <x:c r="C32" s="24" t="str">
        <x:v>视频提交、持久幂等与未知结果</x:v>
      </x:c>
      <x:c r="D32" s="24" t="str">
        <x:v>T05、T06、T23、T24、T25、T26</x:v>
      </x:c>
      <x:c r="E32" s="24" t="str">
        <x:v>feat/aiwork-studio</x:v>
      </x:c>
      <x:c r="F32" s="24" t="str">
        <x:v>GPT6.1 sol high（待宿主核验）</x:v>
      </x:c>
      <x:c r="G32" s="24" t="str">
        <x:v>src/application/runs/submit-video.ts</x:v>
      </x:c>
      <x:c r="H32" s="24" t="str">
        <x:v>npm run test:unit -- tests/unit/video-submit.test.ts</x:v>
      </x:c>
      <x:c r="I32" s="26" t="str">
        <x:v>未开始</x:v>
      </x:c>
      <x:c r="J32" s="26" t="str">
        <x:v>未验证</x:v>
      </x:c>
      <x:c r="K32" s="24" t="str"/>
      <x:c r="L32" s="24" t="str">
        <x:v>依赖任务验收通过。</x:v>
      </x:c>
      <x:c r="M32" s="24" t="str">
        <x:v>V-09, V-14, J-10</x:v>
      </x:c>
    </x:row>
    <x:row r="33" ht="86" customHeight="1">
      <x:c r="A33" s="24" t="str">
        <x:v>T28</x:v>
      </x:c>
      <x:c r="B33" s="24" t="str">
        <x:v>WP04</x:v>
      </x:c>
      <x:c r="C33" s="24" t="str">
        <x:v>任务轮询、退避和查询状态</x:v>
      </x:c>
      <x:c r="D33" s="24" t="str">
        <x:v>T23、T24、T27</x:v>
      </x:c>
      <x:c r="E33" s="24" t="str">
        <x:v>feat/aiwork-studio</x:v>
      </x:c>
      <x:c r="F33" s="24" t="str">
        <x:v>GPT6.1 sol high（待宿主核验）</x:v>
      </x:c>
      <x:c r="G33" s="24" t="str">
        <x:v>src/application/runs/poll-video.ts</x:v>
      </x:c>
      <x:c r="H33" s="24" t="str">
        <x:v>npm run test:unit -- tests/unit/video-polling.test.ts</x:v>
      </x:c>
      <x:c r="I33" s="26" t="str">
        <x:v>未开始</x:v>
      </x:c>
      <x:c r="J33" s="26" t="str">
        <x:v>未验证</x:v>
      </x:c>
      <x:c r="K33" s="24" t="str"/>
      <x:c r="L33" s="24" t="str">
        <x:v>依赖任务验收通过。</x:v>
      </x:c>
      <x:c r="M33" s="24" t="str">
        <x:v>V-11, V-12, V-13, J-04, J-05, F-05</x:v>
      </x:c>
    </x:row>
    <x:row r="34" ht="86" customHeight="1">
      <x:c r="A34" s="24" t="str">
        <x:v>T29</x:v>
      </x:c>
      <x:c r="B34" s="24" t="str">
        <x:v>WP04</x:v>
      </x:c>
      <x:c r="C34" s="24" t="str">
        <x:v>依赖执行队列与刷新恢复</x:v>
      </x:c>
      <x:c r="D34" s="24" t="str">
        <x:v>T06、T10、T26、T27、T28</x:v>
      </x:c>
      <x:c r="E34" s="24" t="str">
        <x:v>feat/aiwork-studio</x:v>
      </x:c>
      <x:c r="F34" s="24" t="str">
        <x:v>GPT6.1 sol high（待宿主核验）</x:v>
      </x:c>
      <x:c r="G34" s="24" t="str">
        <x:v>src/application/runs/queue.ts</x:v>
      </x:c>
      <x:c r="H34" s="24" t="str">
        <x:v>npm run test:unit -- tests/unit/run-queue.test.ts</x:v>
      </x:c>
      <x:c r="I34" s="26" t="str">
        <x:v>未开始</x:v>
      </x:c>
      <x:c r="J34" s="26" t="str">
        <x:v>未验证</x:v>
      </x:c>
      <x:c r="K34" s="24" t="str"/>
      <x:c r="L34" s="24" t="str">
        <x:v>依赖任务验收通过。</x:v>
      </x:c>
      <x:c r="M34" s="24" t="str">
        <x:v>C-17, C-18, J-06, J-07</x:v>
      </x:c>
    </x:row>
    <x:row r="35" ht="86" customHeight="1">
      <x:c r="A35" s="24" t="str">
        <x:v>T30</x:v>
      </x:c>
      <x:c r="B35" s="24" t="str">
        <x:v>WP04</x:v>
      </x:c>
      <x:c r="C35" s="24" t="str">
        <x:v>Core文字优化与独立PromptRun</x:v>
      </x:c>
      <x:c r="D35" s="24" t="str">
        <x:v>T09、T19、T20、T23、T24、T26</x:v>
      </x:c>
      <x:c r="E35" s="24" t="str">
        <x:v>feat/prompt-generation</x:v>
      </x:c>
      <x:c r="F35" s="24" t="str">
        <x:v>GPT6.1 sol high（待宿主核验）</x:v>
      </x:c>
      <x:c r="G35" s="24" t="str">
        <x:v>src/adapters/core/text.ts</x:v>
      </x:c>
      <x:c r="H35" s="24" t="str">
        <x:v>npm run test:unit -- tests/unit/text-optimization.test.ts</x:v>
      </x:c>
      <x:c r="I35" s="26" t="str">
        <x:v>未开始</x:v>
      </x:c>
      <x:c r="J35" s="26" t="str">
        <x:v>未验证</x:v>
      </x:c>
      <x:c r="K35" s="24" t="str"/>
      <x:c r="L35" s="24" t="str">
        <x:v>依赖任务验收通过。</x:v>
      </x:c>
      <x:c r="M35" s="24" t="str">
        <x:v>T-06, B-01, PG15, PG17, PG18, PG19, PG20</x:v>
      </x:c>
    </x:row>
    <x:row r="36" ht="86" customHeight="1">
      <x:c r="A36" s="24" t="str">
        <x:v>T31</x:v>
      </x:c>
      <x:c r="B36" s="24" t="str">
        <x:v>WP04</x:v>
      </x:c>
      <x:c r="C36" s="24" t="str">
        <x:v>AI结果解析、差异与提示词模式联通</x:v>
      </x:c>
      <x:c r="D36" s="24" t="str">
        <x:v>T19、T20、T21、T30</x:v>
      </x:c>
      <x:c r="E36" s="24" t="str">
        <x:v>feat/prompt-generation</x:v>
      </x:c>
      <x:c r="F36" s="24" t="str">
        <x:v>GPT6.1 sol high（待宿主核验）</x:v>
      </x:c>
      <x:c r="G36" s="24" t="str">
        <x:v>src/adapters/core/prompt-result-parser.ts</x:v>
      </x:c>
      <x:c r="H36" s="24" t="str">
        <x:v>npm run test:e2e -- tests/e2e/prompt-result-parser.spec.ts</x:v>
      </x:c>
      <x:c r="I36" s="26" t="str">
        <x:v>未开始</x:v>
      </x:c>
      <x:c r="J36" s="26" t="str">
        <x:v>未验证</x:v>
      </x:c>
      <x:c r="K36" s="24" t="str"/>
      <x:c r="L36" s="24" t="str">
        <x:v>依赖任务验收通过。</x:v>
      </x:c>
      <x:c r="M36" s="24" t="str">
        <x:v>T-07, PG21</x:v>
      </x:c>
    </x:row>
    <x:row r="37" ht="86" customHeight="1">
      <x:c r="A37" s="24" t="str">
        <x:v>T32</x:v>
      </x:c>
      <x:c r="B37" s="24" t="str">
        <x:v>WP04</x:v>
      </x:c>
      <x:c r="C37" s="24" t="str">
        <x:v>作业版本、改版和续写</x:v>
      </x:c>
      <x:c r="D37" s="24" t="str">
        <x:v>T23、T24、T27、T28</x:v>
      </x:c>
      <x:c r="E37" s="24" t="str">
        <x:v>feat/aiwork-studio</x:v>
      </x:c>
      <x:c r="F37" s="24" t="str">
        <x:v>GPT6.1 sol high（待宿主核验）</x:v>
      </x:c>
      <x:c r="G37" s="24" t="str">
        <x:v>src/adapters/core/video-works.ts</x:v>
      </x:c>
      <x:c r="H37" s="24" t="str">
        <x:v>npm run test:unit -- tests/unit/video-work-context.test.ts</x:v>
      </x:c>
      <x:c r="I37" s="26" t="str">
        <x:v>未开始</x:v>
      </x:c>
      <x:c r="J37" s="26" t="str">
        <x:v>未验证</x:v>
      </x:c>
      <x:c r="K37" s="24" t="str"/>
      <x:c r="L37" s="24" t="str">
        <x:v>必须具备已验证work_context/continuation及父版本fixture；否则功能受限但基础版不绕过。</x:v>
      </x:c>
      <x:c r="M37" s="24" t="str">
        <x:v>V-15, V-16</x:v>
      </x:c>
    </x:row>
    <x:row r="38" ht="86" customHeight="1">
      <x:c r="A38" s="24" t="str">
        <x:v>T33</x:v>
      </x:c>
      <x:c r="B38" s="24" t="str">
        <x:v>WP05</x:v>
      </x:c>
      <x:c r="C38" s="24" t="str">
        <x:v>鉴权媒体内容、缓存与浏览器下载</x:v>
      </x:c>
      <x:c r="D38" s="24" t="str">
        <x:v>T07、T09、T24、T28</x:v>
      </x:c>
      <x:c r="E38" s="24" t="str">
        <x:v>feat/aiwork-studio</x:v>
      </x:c>
      <x:c r="F38" s="24" t="str">
        <x:v>GPT6.1 sol high（待宿主核验）</x:v>
      </x:c>
      <x:c r="G38" s="24" t="str">
        <x:v>src/adapters/core/content.ts</x:v>
      </x:c>
      <x:c r="H38" s="24" t="str">
        <x:v>npm run test:unit -- tests/unit/media-delivery.test.ts</x:v>
      </x:c>
      <x:c r="I38" s="26" t="str">
        <x:v>未开始</x:v>
      </x:c>
      <x:c r="J38" s="26" t="str">
        <x:v>未验证</x:v>
      </x:c>
      <x:c r="K38" s="24" t="str"/>
      <x:c r="L38" s="24" t="str">
        <x:v>依赖任务验收通过。</x:v>
      </x:c>
      <x:c r="M38" s="24" t="str">
        <x:v>R-03, R-04, R-12</x:v>
      </x:c>
    </x:row>
    <x:row r="39" ht="86" customHeight="1">
      <x:c r="A39" s="24" t="str">
        <x:v>T34</x:v>
      </x:c>
      <x:c r="B39" s="24" t="str">
        <x:v>WP05</x:v>
      </x:c>
      <x:c r="C39" s="24" t="str">
        <x:v>任务中心与底部抽屉共享记录</x:v>
      </x:c>
      <x:c r="D39" s="24" t="str">
        <x:v>T28、T29、T31、T33</x:v>
      </x:c>
      <x:c r="E39" s="24" t="str">
        <x:v>feat/aiwork-studio</x:v>
      </x:c>
      <x:c r="F39" s="24" t="str">
        <x:v>GPT6.1 sol high（待宿主核验）</x:v>
      </x:c>
      <x:c r="G39" s="24" t="str">
        <x:v>src/features/tasks/TasksPage.tsx</x:v>
      </x:c>
      <x:c r="H39" s="24" t="str">
        <x:v>npm run test:e2e -- tests/e2e/task-center.spec.ts</x:v>
      </x:c>
      <x:c r="I39" s="26" t="str">
        <x:v>未开始</x:v>
      </x:c>
      <x:c r="J39" s="26" t="str">
        <x:v>未验证</x:v>
      </x:c>
      <x:c r="K39" s="24" t="str"/>
      <x:c r="L39" s="24" t="str">
        <x:v>依赖任务验收通过。</x:v>
      </x:c>
      <x:c r="M39" s="24" t="str">
        <x:v>V-18, J-01, J-02, J-03, J-08, J-09</x:v>
      </x:c>
    </x:row>
    <x:row r="40" ht="86" customHeight="1">
      <x:c r="A40" s="24" t="str">
        <x:v>T35</x:v>
      </x:c>
      <x:c r="B40" s="24" t="str">
        <x:v>WP05</x:v>
      </x:c>
      <x:c r="C40" s="24" t="str">
        <x:v>审片、A/B比较和结果复用</x:v>
      </x:c>
      <x:c r="D40" s="24" t="str">
        <x:v>T14、T15、T16、T33、T34</x:v>
      </x:c>
      <x:c r="E40" s="24" t="str">
        <x:v>feat/aiwork-studio</x:v>
      </x:c>
      <x:c r="F40" s="24" t="str">
        <x:v>GPT6.1 sol high（待宿主核验）</x:v>
      </x:c>
      <x:c r="G40" s="24" t="str">
        <x:v>src/features/review/ResultPage.tsx</x:v>
      </x:c>
      <x:c r="H40" s="24" t="str">
        <x:v>npm run test:e2e -- tests/e2e/result-review.spec.ts</x:v>
      </x:c>
      <x:c r="I40" s="26" t="str">
        <x:v>未开始</x:v>
      </x:c>
      <x:c r="J40" s="26" t="str">
        <x:v>未验证</x:v>
      </x:c>
      <x:c r="K40" s="24" t="str"/>
      <x:c r="L40" s="24" t="str">
        <x:v>依赖任务验收通过。</x:v>
      </x:c>
      <x:c r="M40" s="24" t="str">
        <x:v>V-17, R-01, R-02, R-05, R-06, R-07, R-08, R-09, R-10, R-11, R-13</x:v>
      </x:c>
    </x:row>
    <x:row r="41" ht="86" customHeight="1">
      <x:c r="A41" s="24" t="str">
        <x:v>T36</x:v>
      </x:c>
      <x:c r="B41" s="24" t="str">
        <x:v>WP05</x:v>
      </x:c>
      <x:c r="C41" s="24" t="str">
        <x:v>安全项目包、导入迁移与草稿备份</x:v>
      </x:c>
      <x:c r="D41" s="24" t="str">
        <x:v>T04、T05、T08、T10、T20、T33</x:v>
      </x:c>
      <x:c r="E41" s="24" t="str">
        <x:v>feat/aiwork-studio</x:v>
      </x:c>
      <x:c r="F41" s="24" t="str">
        <x:v>GPT6.1 sol high（待宿主核验）</x:v>
      </x:c>
      <x:c r="G41" s="24" t="str">
        <x:v>src/infrastructure/packages/export-project.ts</x:v>
      </x:c>
      <x:c r="H41" s="24" t="str">
        <x:v>npm run test:unit -- tests/unit/project-package.test.ts</x:v>
      </x:c>
      <x:c r="I41" s="26" t="str">
        <x:v>未开始</x:v>
      </x:c>
      <x:c r="J41" s="26" t="str">
        <x:v>未验证</x:v>
      </x:c>
      <x:c r="K41" s="24" t="str"/>
      <x:c r="L41" s="24" t="str">
        <x:v>上述数值是本次实施计划确定的初值，不是Core或浏览器真实容量上限。</x:v>
      </x:c>
      <x:c r="M41" s="24" t="str">
        <x:v>C-19, D-04, D-05, D-09, D-10, I-01, I-02, I-03, I-04, I-05, I-06, I-07, I-08</x:v>
      </x:c>
    </x:row>
    <x:row r="42" ht="86" customHeight="1">
      <x:c r="A42" s="24" t="str">
        <x:v>T37</x:v>
      </x:c>
      <x:c r="B42" s="24" t="str">
        <x:v>WP05</x:v>
      </x:c>
      <x:c r="C42" s="24" t="str">
        <x:v>设置、存储占用与缓存清理</x:v>
      </x:c>
      <x:c r="D42" s="24" t="str">
        <x:v>T09、T11、T23、T24、T36</x:v>
      </x:c>
      <x:c r="E42" s="24" t="str">
        <x:v>feat/aiwork-studio</x:v>
      </x:c>
      <x:c r="F42" s="24" t="str">
        <x:v>GPT6.1 sol high（待宿主核验）</x:v>
      </x:c>
      <x:c r="G42" s="24" t="str">
        <x:v>src/features/settings/ConnectionSettings.tsx</x:v>
      </x:c>
      <x:c r="H42" s="24" t="str">
        <x:v>npm run test:e2e -- tests/e2e/storage-settings.spec.ts</x:v>
      </x:c>
      <x:c r="I42" s="26" t="str">
        <x:v>未开始</x:v>
      </x:c>
      <x:c r="J42" s="26" t="str">
        <x:v>未验证</x:v>
      </x:c>
      <x:c r="K42" s="24" t="str"/>
      <x:c r="L42" s="24" t="str">
        <x:v>依赖任务验收通过。</x:v>
      </x:c>
      <x:c r="M42" s="24" t="str">
        <x:v>G-06, K-01, K-02, K-03, K-06, K-09, K-10, B-02, B-06, S-01, S-02, S-03, S-04, S-05, S-06, D-01, D-02, D-03, D-06</x:v>
      </x:c>
    </x:row>
    <x:row r="43" ht="86" customHeight="1">
      <x:c r="A43" s="24" t="str">
        <x:v>T38</x:v>
      </x:c>
      <x:c r="B43" s="24" t="str">
        <x:v>WP05</x:v>
      </x:c>
      <x:c r="C43" s="24" t="str">
        <x:v>恢复中心、活动记录与帮助</x:v>
      </x:c>
      <x:c r="D43" s="24" t="str">
        <x:v>T06、T08、T28、T34、T36、T37</x:v>
      </x:c>
      <x:c r="E43" s="24" t="str">
        <x:v>feat/aiwork-studio</x:v>
      </x:c>
      <x:c r="F43" s="24" t="str">
        <x:v>GPT6.1 sol high（待宿主核验）</x:v>
      </x:c>
      <x:c r="G43" s="24" t="str">
        <x:v>src/features/recovery/RecoveryCenter.tsx</x:v>
      </x:c>
      <x:c r="H43" s="24" t="str">
        <x:v>npm run test:e2e -- tests/e2e/recovery-diagnostics.spec.ts</x:v>
      </x:c>
      <x:c r="I43" s="26" t="str">
        <x:v>未开始</x:v>
      </x:c>
      <x:c r="J43" s="26" t="str">
        <x:v>未验证</x:v>
      </x:c>
      <x:c r="K43" s="24" t="str"/>
      <x:c r="L43" s="24" t="str">
        <x:v>依赖任务验收通过。</x:v>
      </x:c>
      <x:c r="M43" s="24" t="str">
        <x:v>H-01, H-02, H-03, H-04, Q-01, Q-03, Q-04, F-03, F-04, F-06</x:v>
      </x:c>
    </x:row>
    <x:row r="44" ht="86" customHeight="1">
      <x:c r="A44" s="24" t="str">
        <x:v>T39</x:v>
      </x:c>
      <x:c r="B44" s="24" t="str">
        <x:v>WP06</x:v>
      </x:c>
      <x:c r="C44" s="24" t="str">
        <x:v>本机Agent连接与最小授权通道</x:v>
      </x:c>
      <x:c r="D44" s="24" t="str">
        <x:v>T09、T10、T24、T38</x:v>
      </x:c>
      <x:c r="E44" s="24" t="str">
        <x:v>feat/canvas-agent</x:v>
      </x:c>
      <x:c r="F44" s="24" t="str">
        <x:v>GPT6.1 sol high（待宿主核验）</x:v>
      </x:c>
      <x:c r="G44" s="24" t="str">
        <x:v>companion/package.json</x:v>
      </x:c>
      <x:c r="H44" s="24" t="str">
        <x:v>npm run test:unit -- tests/unit/agent-relay.test.ts</x:v>
      </x:c>
      <x:c r="I44" s="26" t="str">
        <x:v>未开始</x:v>
      </x:c>
      <x:c r="J44" s="26" t="str">
        <x:v>未验证</x:v>
      </x:c>
      <x:c r="K44" s="24" t="str"/>
      <x:c r="L44" s="24" t="str">
        <x:v>连接器/模型实际可用后再进入此包；不改动原MCP既有视频工具。</x:v>
      </x:c>
      <x:c r="M44" s="24" t="str">
        <x:v>A-01, A-02, A-03, A-12</x:v>
      </x:c>
    </x:row>
    <x:row r="45" ht="86" customHeight="1">
      <x:c r="A45" s="24" t="str">
        <x:v>T40</x:v>
      </x:c>
      <x:c r="B45" s="24" t="str">
        <x:v>WP06</x:v>
      </x:c>
      <x:c r="C45" s="24" t="str">
        <x:v>结构化提案与revision冲突处理</x:v>
      </x:c>
      <x:c r="D45" s="24" t="str">
        <x:v>T10、T39</x:v>
      </x:c>
      <x:c r="E45" s="24" t="str">
        <x:v>feat/canvas-agent</x:v>
      </x:c>
      <x:c r="F45" s="24" t="str">
        <x:v>GPT6.1 sol high（待宿主核验）</x:v>
      </x:c>
      <x:c r="G45" s="24" t="str">
        <x:v>src/application/proposals/validate-proposal.ts</x:v>
      </x:c>
      <x:c r="H45" s="24" t="str">
        <x:v>npm run test:unit -- tests/unit/agent-proposals.test.ts</x:v>
      </x:c>
      <x:c r="I45" s="26" t="str">
        <x:v>未开始</x:v>
      </x:c>
      <x:c r="J45" s="26" t="str">
        <x:v>未验证</x:v>
      </x:c>
      <x:c r="K45" s="24" t="str"/>
      <x:c r="L45" s="24" t="str">
        <x:v>依赖任务验收通过。</x:v>
      </x:c>
      <x:c r="M45" s="24" t="str">
        <x:v>A-06, A-07, A-08, A-09, A-16</x:v>
      </x:c>
    </x:row>
    <x:row r="46" ht="86" customHeight="1">
      <x:c r="A46" s="24" t="str">
        <x:v>T41</x:v>
      </x:c>
      <x:c r="B46" s="24" t="str">
        <x:v>WP06</x:v>
      </x:c>
      <x:c r="C46" s="24" t="str">
        <x:v>画布MCP工具与唯一执行入口</x:v>
      </x:c>
      <x:c r="D46" s="24" t="str">
        <x:v>T22、T27、T29、T30、T39、T40</x:v>
      </x:c>
      <x:c r="E46" s="24" t="str">
        <x:v>feat/canvas-agent</x:v>
      </x:c>
      <x:c r="F46" s="24" t="str">
        <x:v>GPT6.1 sol high（待宿主核验）</x:v>
      </x:c>
      <x:c r="G46" s="24" t="str">
        <x:v>companion/src/mcp.ts</x:v>
      </x:c>
      <x:c r="H46" s="24" t="str">
        <x:v>npm run test:unit -- tests/unit/canvas-mcp.test.ts</x:v>
      </x:c>
      <x:c r="I46" s="26" t="str">
        <x:v>未开始</x:v>
      </x:c>
      <x:c r="J46" s="26" t="str">
        <x:v>未验证</x:v>
      </x:c>
      <x:c r="K46" s="24" t="str"/>
      <x:c r="L46" s="24" t="str">
        <x:v>依赖任务验收通过。</x:v>
      </x:c>
      <x:c r="M46" s="24" t="str">
        <x:v>A-10</x:v>
      </x:c>
    </x:row>
    <x:row r="47" ht="86" customHeight="1">
      <x:c r="A47" s="24" t="str">
        <x:v>T42</x:v>
      </x:c>
      <x:c r="B47" s="24" t="str">
        <x:v>WP06</x:v>
      </x:c>
      <x:c r="C47" s="24" t="str">
        <x:v>Agent面板、上下文预览与停止行为</x:v>
      </x:c>
      <x:c r="D47" s="24" t="str">
        <x:v>T11、T34、T39、T40、T41</x:v>
      </x:c>
      <x:c r="E47" s="24" t="str">
        <x:v>feat/canvas-agent</x:v>
      </x:c>
      <x:c r="F47" s="24" t="str">
        <x:v>GPT6.1 sol high（待宿主核验）</x:v>
      </x:c>
      <x:c r="G47" s="24" t="str">
        <x:v>src/features/agent/AgentPanel.tsx</x:v>
      </x:c>
      <x:c r="H47" s="24" t="str">
        <x:v>npm run test:e2e -- tests/e2e/agent-panel.spec.ts</x:v>
      </x:c>
      <x:c r="I47" s="26" t="str">
        <x:v>未开始</x:v>
      </x:c>
      <x:c r="J47" s="26" t="str">
        <x:v>未验证</x:v>
      </x:c>
      <x:c r="K47" s="24" t="str"/>
      <x:c r="L47" s="24" t="str">
        <x:v>依赖任务验收通过。</x:v>
      </x:c>
      <x:c r="M47" s="24" t="str">
        <x:v>A-04, A-05, A-11, A-13, A-14, A-15</x:v>
      </x:c>
    </x:row>
    <x:row r="48" ht="86" customHeight="1">
      <x:c r="A48" s="24" t="str">
        <x:v>T43</x:v>
      </x:c>
      <x:c r="B48" s="24" t="str">
        <x:v>WP07</x:v>
      </x:c>
      <x:c r="C48" s="24" t="str">
        <x:v>条件能力与原功能处置完整性</x:v>
      </x:c>
      <x:c r="D48" s="24" t="str">
        <x:v>T17、T23、T32、T37、T42</x:v>
      </x:c>
      <x:c r="E48" s="24" t="str">
        <x:v>feat/aiwork-studio</x:v>
      </x:c>
      <x:c r="F48" s="24" t="str">
        <x:v>GPT6.1 sol high（待宿主核验）</x:v>
      </x:c>
      <x:c r="G48" s="24" t="str">
        <x:v>src/app/feature-gates.ts</x:v>
      </x:c>
      <x:c r="H48" s="24" t="str">
        <x:v>npm run test:unit -- tests/unit/optional-capabilities.test.ts</x:v>
      </x:c>
      <x:c r="I48" s="26" t="str">
        <x:v>未开始</x:v>
      </x:c>
      <x:c r="J48" s="26" t="str">
        <x:v>未验证</x:v>
      </x:c>
      <x:c r="K48" s="24" t="str"/>
      <x:c r="L48" s="24" t="str">
        <x:v>依赖任务验收通过。</x:v>
      </x:c>
      <x:c r="M48" s="24" t="str">
        <x:v>B-04, X-01, X-02, X-03, X-04, Y-01, Y-02, Y-03, Y-04, Y-05</x:v>
      </x:c>
    </x:row>
    <x:row r="49" ht="86" customHeight="1">
      <x:c r="A49" s="24" t="str">
        <x:v>T44</x:v>
      </x:c>
      <x:c r="B49" s="24" t="str">
        <x:v>WP07</x:v>
      </x:c>
      <x:c r="C49" s="24" t="str">
        <x:v>260项交互与30弹窗追踪回归</x:v>
      </x:c>
      <x:c r="D49" s="24" t="str">
        <x:v>T12、T13、T14、T15、T16、T17、T21、T22、T26、T31、T34、T35、T37、T38、T42、T43</x:v>
      </x:c>
      <x:c r="E49" s="24" t="str">
        <x:v>feat/aiwork-studio</x:v>
      </x:c>
      <x:c r="F49" s="24" t="str">
        <x:v>GPT6.1 sol high（待宿主核验）</x:v>
      </x:c>
      <x:c r="G49" s="24" t="str">
        <x:v>docs/review/interaction-map.json</x:v>
      </x:c>
      <x:c r="H49" s="24" t="str">
        <x:v>npm run test:e2e -- tests/e2e/interaction-coverage.spec.ts</x:v>
      </x:c>
      <x:c r="I49" s="26" t="str">
        <x:v>未开始</x:v>
      </x:c>
      <x:c r="J49" s="26" t="str">
        <x:v>未验证</x:v>
      </x:c>
      <x:c r="K49" s="24" t="str"/>
      <x:c r="L49" s="24" t="str">
        <x:v>依赖任务验收通过。</x:v>
      </x:c>
      <x:c r="M49" s="24" t="str"/>
    </x:row>
    <x:row r="50" ht="86" customHeight="1">
      <x:c r="A50" s="24" t="str">
        <x:v>T45</x:v>
      </x:c>
      <x:c r="B50" s="24" t="str">
        <x:v>WP07</x:v>
      </x:c>
      <x:c r="C50" s="24" t="str">
        <x:v>安全与故障注入整链路测试</x:v>
      </x:c>
      <x:c r="D50" s="24" t="str">
        <x:v>T27、T28、T29、T30、T33、T36、T38、T41</x:v>
      </x:c>
      <x:c r="E50" s="24" t="str">
        <x:v>feat/aiwork-studio</x:v>
      </x:c>
      <x:c r="F50" s="24" t="str">
        <x:v>GPT6.1 sol high（待宿主核验）</x:v>
      </x:c>
      <x:c r="G50" s="24" t="str">
        <x:v>tests/security/import-attacks.test.ts</x:v>
      </x:c>
      <x:c r="H50" s="24" t="str">
        <x:v>npm run test:unit -- tests/unit/failure-injection.test.ts</x:v>
      </x:c>
      <x:c r="I50" s="26" t="str">
        <x:v>未开始</x:v>
      </x:c>
      <x:c r="J50" s="26" t="str">
        <x:v>未验证</x:v>
      </x:c>
      <x:c r="K50" s="24" t="str"/>
      <x:c r="L50" s="24" t="str">
        <x:v>依赖任务验收通过。</x:v>
      </x:c>
      <x:c r="M50" s="24" t="str"/>
    </x:row>
    <x:row r="51" ht="86" customHeight="1">
      <x:c r="A51" s="24" t="str">
        <x:v>T46</x:v>
      </x:c>
      <x:c r="B51" s="24" t="str">
        <x:v>WP07</x:v>
      </x:c>
      <x:c r="C51" s="24" t="str">
        <x:v>视觉、可访问性与性能验收</x:v>
      </x:c>
      <x:c r="D51" s="24" t="str">
        <x:v>T02、T44、T45</x:v>
      </x:c>
      <x:c r="E51" s="24" t="str">
        <x:v>feat/aiwork-studio</x:v>
      </x:c>
      <x:c r="F51" s="24" t="str">
        <x:v>GPT6.1 sol high（待宿主核验）</x:v>
      </x:c>
      <x:c r="G51" s="24" t="str">
        <x:v>tests/e2e/visual-states.spec.ts</x:v>
      </x:c>
      <x:c r="H51" s="24" t="str">
        <x:v>npm run test:e2e -- tests/e2e/visual-a11y-performance.spec.ts</x:v>
      </x:c>
      <x:c r="I51" s="26" t="str">
        <x:v>未开始</x:v>
      </x:c>
      <x:c r="J51" s="26" t="str">
        <x:v>未验证</x:v>
      </x:c>
      <x:c r="K51" s="24" t="str"/>
      <x:c r="L51" s="24" t="str">
        <x:v>依赖任务验收通过。</x:v>
      </x:c>
      <x:c r="M51" s="24" t="str"/>
    </x:row>
    <x:row r="52" ht="86" customHeight="1">
      <x:c r="A52" s="24" t="str">
        <x:v>T47</x:v>
      </x:c>
      <x:c r="B52" s="24" t="str">
        <x:v>WP08</x:v>
      </x:c>
      <x:c r="C52" s="24" t="str">
        <x:v>独立启动、部署与发行包扫描</x:v>
      </x:c>
      <x:c r="D52" s="24" t="str">
        <x:v>T24、T36、T43、T44、T45、T46</x:v>
      </x:c>
      <x:c r="E52" s="24" t="str">
        <x:v>feat/aiwork-studio</x:v>
      </x:c>
      <x:c r="F52" s="24" t="str">
        <x:v>GPT6.1 sol high（待宿主核验）</x:v>
      </x:c>
      <x:c r="G52" s="24" t="str">
        <x:v>deploy/nginx-canvas.conf</x:v>
      </x:c>
      <x:c r="H52" s="24" t="str">
        <x:v>npm run test:e2e -- tests/e2e/distribution.spec.ts</x:v>
      </x:c>
      <x:c r="I52" s="26" t="str">
        <x:v>未开始</x:v>
      </x:c>
      <x:c r="J52" s="26" t="str">
        <x:v>未验证</x:v>
      </x:c>
      <x:c r="K52" s="24" t="str"/>
      <x:c r="L52" s="24" t="str">
        <x:v>原README前端标识要求尚需澄清；未获适用授权不得标记完全去标识发布通过。</x:v>
      </x:c>
      <x:c r="M52" s="24" t="str">
        <x:v>Q-02</x:v>
      </x:c>
    </x:row>
    <x:row r="53" ht="86" customHeight="1">
      <x:c r="A53" s="24" t="str">
        <x:v>T48</x:v>
      </x:c>
      <x:c r="B53" s="24" t="str">
        <x:v>WP08</x:v>
      </x:c>
      <x:c r="C53" s="24" t="str">
        <x:v>经授权的真实Core联调</x:v>
      </x:c>
      <x:c r="D53" s="24" t="str">
        <x:v>T27、T28、T30、T32、T33、T47</x:v>
      </x:c>
      <x:c r="E53" s="24" t="str">
        <x:v>feat/aiwork-studio</x:v>
      </x:c>
      <x:c r="F53" s="24" t="str">
        <x:v>GPT6.1 sol high（待宿主核验）</x:v>
      </x:c>
      <x:c r="G53" s="24" t="str">
        <x:v>tests/live/authorized-live.spec.ts</x:v>
      </x:c>
      <x:c r="H53" s="24" t="str">
        <x:v>npm run test:live -- tests/live/authorized-live.spec.ts</x:v>
      </x:c>
      <x:c r="I53" s="26" t="str">
        <x:v>未开始</x:v>
      </x:c>
      <x:c r="J53" s="26" t="str">
        <x:v>未验证</x:v>
      </x:c>
      <x:c r="K53" s="24" t="str"/>
      <x:c r="L53" s="24" t="str">
        <x:v>设计/计划批准不等于收费授权；尚未获得授权时本任务保持待授权，其他本地工作可交付。</x:v>
      </x:c>
      <x:c r="M53" s="24" t="str"/>
    </x:row>
    <x:row r="54" ht="86" customHeight="1">
      <x:c r="A54" s="24" t="str">
        <x:v>T49</x:v>
      </x:c>
      <x:c r="B54" s="24" t="str">
        <x:v>WP08</x:v>
      </x:c>
      <x:c r="C54" s="24" t="str">
        <x:v>升级、备份与回滚演练</x:v>
      </x:c>
      <x:c r="D54" s="24" t="str">
        <x:v>T36、T45、T47</x:v>
      </x:c>
      <x:c r="E54" s="24" t="str">
        <x:v>feat/aiwork-studio</x:v>
      </x:c>
      <x:c r="F54" s="24" t="str">
        <x:v>GPT6.1 sol high（待宿主核验）</x:v>
      </x:c>
      <x:c r="G54" s="24" t="str">
        <x:v>docs/release-runbook.md</x:v>
      </x:c>
      <x:c r="H54" s="24" t="str">
        <x:v>npm run test:e2e -- tests/e2e/migration-release.spec.ts</x:v>
      </x:c>
      <x:c r="I54" s="26" t="str">
        <x:v>未开始</x:v>
      </x:c>
      <x:c r="J54" s="26" t="str">
        <x:v>未验证</x:v>
      </x:c>
      <x:c r="K54" s="24" t="str"/>
      <x:c r="L54" s="24" t="str">
        <x:v>依赖任务验收通过。</x:v>
      </x:c>
      <x:c r="M54" s="24" t="str"/>
    </x:row>
    <x:row r="55" ht="86" customHeight="1">
      <x:c r="A55" s="24" t="str">
        <x:v>T50</x:v>
      </x:c>
      <x:c r="B55" s="24" t="str">
        <x:v>WP08</x:v>
      </x:c>
      <x:c r="C55" s="24" t="str">
        <x:v>整分支独立审查与最终交接</x:v>
      </x:c>
      <x:c r="D55" s="24" t="str">
        <x:v>T01、T02、T44、T45、T46、T47、T48、T49</x:v>
      </x:c>
      <x:c r="E55" s="24" t="str">
        <x:v>feat/aiwork-studio</x:v>
      </x:c>
      <x:c r="F55" s="24" t="str">
        <x:v>GPT6.1 sol high（待宿主核验）</x:v>
      </x:c>
      <x:c r="G55" s="24" t="str">
        <x:v>docs/review/final-acceptance.md</x:v>
      </x:c>
      <x:c r="H55" s="24" t="str">
        <x:v>node --test tests/planning/final-review.test.mjs</x:v>
      </x:c>
      <x:c r="I55" s="26" t="str">
        <x:v>未开始</x:v>
      </x:c>
      <x:c r="J55" s="26" t="str">
        <x:v>未验证</x:v>
      </x:c>
      <x:c r="K55" s="24" t="str"/>
      <x:c r="L55" s="24" t="str">
        <x:v>涉及真实联调/来源授权未完成，可交离线构建但发布结论保持受限。</x:v>
      </x:c>
      <x:c r="M55" s="24" t="str"/>
    </x:row>
  </x:sheetData>
  <x:mergeCells>
    <x:mergeCell ref="A1:M2"/>
    <x:mergeCell ref="A3:M3"/>
  </x:mergeCells>
  <x:conditionalFormatting sqref="I6:I55">
    <x:cfRule type="expression" dxfId="0" priority="1">
      <x:formula>I6="通过"</x:formula>
    </x:cfRule>
    <x:cfRule type="expression" dxfId="1" priority="2">
      <x:formula>I6="失败"</x:formula>
    </x:cfRule>
  </x:conditionalFormatting>
  <x:conditionalFormatting sqref="J6:J55">
    <x:cfRule type="expression" dxfId="2" priority="3">
      <x:formula>J6="通过"</x:formula>
    </x:cfRule>
    <x:cfRule type="expression" dxfId="3" priority="4">
      <x:formula>J6="失败"</x:formula>
    </x:cfRule>
  </x:conditionalFormatting>
  <x:dataValidations count="2">
    <x:dataValidation type="list" sqref="I6:I55">
      <x:formula1>"未开始,进行中,待审查,完成,阻塞,条件受限"</x:formula1>
    </x:dataValidation>
    <x:dataValidation type="list" sqref="J6:J55">
      <x:formula1>"未验证,验证中,通过,失败,不适用（需理由）"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1f64e8bf10c444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7" hidden="0" customWidth="1"/>
    <x:col min="3" max="3" width="13" hidden="0" customWidth="1"/>
    <x:col min="4" max="4" width="18" hidden="0" customWidth="1"/>
    <x:col min="5" max="5" width="11" hidden="0" customWidth="1"/>
    <x:col min="6" max="6" width="17" hidden="0" customWidth="1"/>
    <x:col min="7" max="7" width="38" hidden="0" customWidth="1"/>
    <x:col min="8" max="8" width="34" hidden="0" customWidth="1"/>
    <x:col min="9" max="9" width="42" hidden="0" customWidth="1"/>
    <x:col min="10" max="10" width="42" hidden="0" customWidth="1"/>
    <x:col min="11" max="11" width="37" hidden="0" customWidth="1"/>
    <x:col min="12" max="12" width="37" hidden="0" customWidth="1"/>
    <x:col min="13" max="13" width="14" hidden="0" customWidth="1"/>
    <x:col min="14" max="14" width="29" hidden="0" customWidth="1"/>
    <x:col min="15" max="15" width="18" hidden="0" customWidth="1"/>
  </x:cols>
  <x:sheetData>
    <x:row r="1" ht="24" customHeight="1">
      <x:c r="A1" s="8" t="str">
        <x:v>260项交互 · 逐项验收追踪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</x:row>
    <x:row r="2" ht="24" customHeight="1">
      <x:c r="A2" s="8"/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</x:row>
    <x:row r="3" ht="34" customHeight="1">
      <x:c r="A3" s="14" t="str">
        <x:v>每项必须核验正常、缺条件、异常、存储和网络副作用；条件能力验收的是门控，不是不存在的生成实现。</x:v>
      </x:c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  <x:c r="M3" s="14"/>
      <x:c r="N3" s="14"/>
      <x:c r="O3" s="14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</x:row>
    <x:row r="5" ht="30" customHeight="1">
      <x:c r="A5" s="20" t="str">
        <x:v>交互ID</x:v>
      </x:c>
      <x:c r="B5" s="20" t="str">
        <x:v>控件/操作</x:v>
      </x:c>
      <x:c r="C5" s="20" t="str">
        <x:v>页面</x:v>
      </x:c>
      <x:c r="D5" s="20" t="str">
        <x:v>交付范围</x:v>
      </x:c>
      <x:c r="E5" s="20" t="str">
        <x:v>主任务</x:v>
      </x:c>
      <x:c r="F5" s="20" t="str">
        <x:v>验收编号</x:v>
      </x:c>
      <x:c r="G5" s="20" t="str">
        <x:v>测试文件</x:v>
      </x:c>
      <x:c r="H5" s="20" t="str">
        <x:v>前置条件</x:v>
      </x:c>
      <x:c r="I5" s="20" t="str">
        <x:v>动作与结果</x:v>
      </x:c>
      <x:c r="J5" s="20" t="str">
        <x:v>异常与恢复</x:v>
      </x:c>
      <x:c r="K5" s="20" t="str">
        <x:v>保存/撤销</x:v>
      </x:c>
      <x:c r="L5" s="20" t="str">
        <x:v>接口与费用</x:v>
      </x:c>
      <x:c r="M5" s="20" t="str">
        <x:v>实施状态</x:v>
      </x:c>
      <x:c r="N5" s="20" t="str">
        <x:v>证据</x:v>
      </x:c>
      <x:c r="O5" s="20" t="str">
        <x:v>规格来源</x:v>
      </x:c>
    </x:row>
    <x:row r="6" ht="92" customHeight="1">
      <x:c r="A6" s="24" t="str">
        <x:v>G-01</x:v>
      </x:c>
      <x:c r="B6" s="24" t="str">
        <x:v>应用字标/项目入口</x:v>
      </x:c>
      <x:c r="C6" s="24" t="str">
        <x:v>P03</x:v>
      </x:c>
      <x:c r="D6" s="24" t="str">
        <x:v>本轮主线</x:v>
      </x:c>
      <x:c r="E6" s="24" t="str">
        <x:v>T11</x:v>
      </x:c>
      <x:c r="F6" s="24" t="str">
        <x:v>AC-G-01</x:v>
      </x:c>
      <x:c r="G6" s="24" t="str">
        <x:v>tests/e2e/app-shell.spec.ts</x:v>
      </x:c>
      <x:c r="H6" s="24" t="str">
        <x:v>非阻塞导入状态</x:v>
      </x:c>
      <x:c r="I6" s="24" t="str">
        <x:v>先刷新保存状态，再回项目页</x:v>
      </x:c>
      <x:c r="J6" s="24" t="str">
        <x:v>保存失败留在当前页并可导出草稿</x:v>
      </x:c>
      <x:c r="K6" s="24" t="str">
        <x:v>视口随项目保存；无数据撤销</x:v>
      </x:c>
      <x:c r="L6" s="24" t="str">
        <x:v>本地，不计费</x:v>
      </x:c>
      <x:c r="M6" s="26" t="str">
        <x:v>待实施</x:v>
      </x:c>
      <x:c r="N6" s="24" t="str"/>
      <x:c r="O6" s="24" t="str">
        <x:v>Design 1.0</x:v>
      </x:c>
    </x:row>
    <x:row r="7" ht="92" customHeight="1">
      <x:c r="A7" s="24" t="str">
        <x:v>G-02</x:v>
      </x:c>
      <x:c r="B7" s="24" t="str">
        <x:v>全局导航</x:v>
      </x:c>
      <x:c r="C7" s="24" t="str">
        <x:v>P03</x:v>
      </x:c>
      <x:c r="D7" s="24" t="str">
        <x:v>本轮主线</x:v>
      </x:c>
      <x:c r="E7" s="24" t="str">
        <x:v>T11</x:v>
      </x:c>
      <x:c r="F7" s="24" t="str">
        <x:v>AC-G-02</x:v>
      </x:c>
      <x:c r="G7" s="24" t="str">
        <x:v>tests/e2e/app-shell.spec.ts</x:v>
      </x:c>
      <x:c r="H7" s="24" t="str">
        <x:v>目标页面可用</x:v>
      </x:c>
      <x:c r="I7" s="24" t="str">
        <x:v>切换项目/素材/提示词/任务/设置；当前项高亮</x:v>
      </x:c>
      <x:c r="J7" s="24" t="str">
        <x:v>未知路由进入自有404页</x:v>
      </x:c>
      <x:c r="K7" s="24" t="str">
        <x:v>保存最后访问页；不新建任务</x:v>
      </x:c>
      <x:c r="L7" s="24" t="str">
        <x:v>本地，不计费</x:v>
      </x:c>
      <x:c r="M7" s="26" t="str">
        <x:v>待实施</x:v>
      </x:c>
      <x:c r="N7" s="24" t="str"/>
      <x:c r="O7" s="24" t="str">
        <x:v>Design 1.0</x:v>
      </x:c>
    </x:row>
    <x:row r="8" ht="92" customHeight="1">
      <x:c r="A8" s="24" t="str">
        <x:v>G-03</x:v>
      </x:c>
      <x:c r="B8" s="24" t="str">
        <x:v>命令面板</x:v>
      </x:c>
      <x:c r="C8" s="24" t="str">
        <x:v>P03</x:v>
      </x:c>
      <x:c r="D8" s="24" t="str">
        <x:v>本轮主线</x:v>
      </x:c>
      <x:c r="E8" s="24" t="str">
        <x:v>T11</x:v>
      </x:c>
      <x:c r="F8" s="24" t="str">
        <x:v>AC-G-03</x:v>
      </x:c>
      <x:c r="G8" s="24" t="str">
        <x:v>tests/e2e/app-shell.spec.ts</x:v>
      </x:c>
      <x:c r="H8" s="24" t="str">
        <x:v>焦点不在输入法组合态</x:v>
      </x:c>
      <x:c r="I8" s="24" t="str">
        <x:v>Ctrl+K搜索当前权限下的操作</x:v>
      </x:c>
      <x:c r="J8" s="24" t="str">
        <x:v>无匹配显示空态；不显示隐藏能力</x:v>
      </x:c>
      <x:c r="K8" s="24" t="str">
        <x:v>不保存搜索词</x:v>
      </x:c>
      <x:c r="L8" s="24" t="str">
        <x:v>本地；收费命令仍进确认</x:v>
      </x:c>
      <x:c r="M8" s="26" t="str">
        <x:v>待实施</x:v>
      </x:c>
      <x:c r="N8" s="24" t="str"/>
      <x:c r="O8" s="24" t="str">
        <x:v>Design 1.0</x:v>
      </x:c>
    </x:row>
    <x:row r="9" ht="92" customHeight="1">
      <x:c r="A9" s="24" t="str">
        <x:v>G-04</x:v>
      </x:c>
      <x:c r="B9" s="24" t="str">
        <x:v>全局搜索</x:v>
      </x:c>
      <x:c r="C9" s="24" t="str">
        <x:v>P03</x:v>
      </x:c>
      <x:c r="D9" s="24" t="str">
        <x:v>本轮主线</x:v>
      </x:c>
      <x:c r="E9" s="24" t="str">
        <x:v>T11</x:v>
      </x:c>
      <x:c r="F9" s="24" t="str">
        <x:v>AC-G-04</x:v>
      </x:c>
      <x:c r="G9" s="24" t="str">
        <x:v>tests/e2e/app-shell.spec.ts</x:v>
      </x:c>
      <x:c r="H9" s="24" t="str">
        <x:v>已有本地索引</x:v>
      </x:c>
      <x:c r="I9" s="24" t="str">
        <x:v>查项目名、节点标题、提示词标题；300ms去抖</x:v>
      </x:c>
      <x:c r="J9" s="24" t="str">
        <x:v>无结果给清除筛选</x:v>
      </x:c>
      <x:c r="K9" s="24" t="str">
        <x:v>仅本地索引</x:v>
      </x:c>
      <x:c r="L9" s="24" t="str">
        <x:v>本地，不计费</x:v>
      </x:c>
      <x:c r="M9" s="26" t="str">
        <x:v>待实施</x:v>
      </x:c>
      <x:c r="N9" s="24" t="str"/>
      <x:c r="O9" s="24" t="str">
        <x:v>Design 1.0</x:v>
      </x:c>
    </x:row>
    <x:row r="10" ht="92" customHeight="1">
      <x:c r="A10" s="24" t="str">
        <x:v>G-05</x:v>
      </x:c>
      <x:c r="B10" s="24" t="str">
        <x:v>连接状态筹码</x:v>
      </x:c>
      <x:c r="C10" s="24" t="str">
        <x:v>P03</x:v>
      </x:c>
      <x:c r="D10" s="24" t="str">
        <x:v>本轮主线</x:v>
      </x:c>
      <x:c r="E10" s="24" t="str">
        <x:v>T11</x:v>
      </x:c>
      <x:c r="F10" s="24" t="str">
        <x:v>AC-G-05</x:v>
      </x:c>
      <x:c r="G10" s="24" t="str">
        <x:v>tests/e2e/app-shell.spec.ts</x:v>
      </x:c>
      <x:c r="H10" s="24" t="str">
        <x:v>任意状态</x:v>
      </x:c>
      <x:c r="I10" s="24" t="str">
        <x:v>打开连接详情，不直接重连或发请求</x:v>
      </x:c>
      <x:c r="J10" s="24" t="str">
        <x:v>Core状态未知明确显示未知</x:v>
      </x:c>
      <x:c r="K10" s="24" t="str">
        <x:v>读取连接档案</x:v>
      </x:c>
      <x:c r="L10" s="24" t="str">
        <x:v>只读测试需显式点击</x:v>
      </x:c>
      <x:c r="M10" s="26" t="str">
        <x:v>待实施</x:v>
      </x:c>
      <x:c r="N10" s="24" t="str"/>
      <x:c r="O10" s="24" t="str">
        <x:v>Design 1.0</x:v>
      </x:c>
    </x:row>
    <x:row r="11" ht="92" customHeight="1">
      <x:c r="A11" s="24" t="str">
        <x:v>G-06</x:v>
      </x:c>
      <x:c r="B11" s="24" t="str">
        <x:v>保存状态</x:v>
      </x:c>
      <x:c r="C11" s="24" t="str">
        <x:v>P03</x:v>
      </x:c>
      <x:c r="D11" s="24" t="str">
        <x:v>本轮主线</x:v>
      </x:c>
      <x:c r="E11" s="24" t="str">
        <x:v>T37</x:v>
      </x:c>
      <x:c r="F11" s="24" t="str">
        <x:v>AC-G-06</x:v>
      </x:c>
      <x:c r="G11" s="24" t="str">
        <x:v>tests/e2e/storage-settings.spec.ts</x:v>
      </x:c>
      <x:c r="H11" s="24" t="str">
        <x:v>项目打开</x:v>
      </x:c>
      <x:c r="I11" s="24" t="str">
        <x:v>展开上次成功保存时间和失败原因</x:v>
      </x:c>
      <x:c r="J11" s="24" t="str">
        <x:v>失败提供重试和导出草稿</x:v>
      </x:c>
      <x:c r="K11" s="24" t="str">
        <x:v>不得提前显示已保存</x:v>
      </x:c>
      <x:c r="L11" s="24" t="str">
        <x:v>本地，不计费</x:v>
      </x:c>
      <x:c r="M11" s="26" t="str">
        <x:v>待实施</x:v>
      </x:c>
      <x:c r="N11" s="24" t="str"/>
      <x:c r="O11" s="24" t="str">
        <x:v>Design 1.0</x:v>
      </x:c>
    </x:row>
    <x:row r="12" ht="92" customHeight="1">
      <x:c r="A12" s="24" t="str">
        <x:v>G-07</x:v>
      </x:c>
      <x:c r="B12" s="24" t="str">
        <x:v>帮助按钮</x:v>
      </x:c>
      <x:c r="C12" s="24" t="str">
        <x:v>P03</x:v>
      </x:c>
      <x:c r="D12" s="24" t="str">
        <x:v>本轮主线</x:v>
      </x:c>
      <x:c r="E12" s="24" t="str">
        <x:v>T11</x:v>
      </x:c>
      <x:c r="F12" s="24" t="str">
        <x:v>AC-G-07</x:v>
      </x:c>
      <x:c r="G12" s="24" t="str">
        <x:v>tests/e2e/app-shell.spec.ts</x:v>
      </x:c>
      <x:c r="H12" s="24" t="str">
        <x:v>任意页</x:v>
      </x:c>
      <x:c r="I12" s="24" t="str">
        <x:v>打开该区域帮助抽屉</x:v>
      </x:c>
      <x:c r="J12" s="24" t="str">
        <x:v>本地帮助缺失显示版本信息</x:v>
      </x:c>
      <x:c r="K12" s="24" t="str">
        <x:v>不改变项目</x:v>
      </x:c>
      <x:c r="L12" s="24" t="str">
        <x:v>本地，不计费</x:v>
      </x:c>
      <x:c r="M12" s="26" t="str">
        <x:v>待实施</x:v>
      </x:c>
      <x:c r="N12" s="24" t="str"/>
      <x:c r="O12" s="24" t="str">
        <x:v>Design 1.0</x:v>
      </x:c>
    </x:row>
    <x:row r="13" ht="92" customHeight="1">
      <x:c r="A13" s="24" t="str">
        <x:v>G-08</x:v>
      </x:c>
      <x:c r="B13" s="24" t="str">
        <x:v>关闭面板/Esc</x:v>
      </x:c>
      <x:c r="C13" s="24" t="str">
        <x:v>P03</x:v>
      </x:c>
      <x:c r="D13" s="24" t="str">
        <x:v>本轮主线</x:v>
      </x:c>
      <x:c r="E13" s="24" t="str">
        <x:v>T11</x:v>
      </x:c>
      <x:c r="F13" s="24" t="str">
        <x:v>AC-G-08</x:v>
      </x:c>
      <x:c r="G13" s="24" t="str">
        <x:v>tests/e2e/app-shell.spec.ts</x:v>
      </x:c>
      <x:c r="H13" s="24" t="str">
        <x:v>最顶层面板获得焦点</x:v>
      </x:c>
      <x:c r="I13" s="24" t="str">
        <x:v>先关闭菜单再抽屉，编辑脏数据提示</x:v>
      </x:c>
      <x:c r="J13" s="24" t="str">
        <x:v>生成确认过程中不允许重复提交</x:v>
      </x:c>
      <x:c r="K13" s="24" t="str">
        <x:v>不撤销已提交任务</x:v>
      </x:c>
      <x:c r="L13" s="24" t="str">
        <x:v>本地，不计费</x:v>
      </x:c>
      <x:c r="M13" s="26" t="str">
        <x:v>待实施</x:v>
      </x:c>
      <x:c r="N13" s="24" t="str"/>
      <x:c r="O13" s="24" t="str">
        <x:v>Design 1.0</x:v>
      </x:c>
    </x:row>
    <x:row r="14" ht="92" customHeight="1">
      <x:c r="A14" s="24" t="str">
        <x:v>G-09</x:v>
      </x:c>
      <x:c r="B14" s="24" t="str">
        <x:v>通知消息</x:v>
      </x:c>
      <x:c r="C14" s="24" t="str">
        <x:v>P03</x:v>
      </x:c>
      <x:c r="D14" s="24" t="str">
        <x:v>本轮主线</x:v>
      </x:c>
      <x:c r="E14" s="24" t="str">
        <x:v>T11</x:v>
      </x:c>
      <x:c r="F14" s="24" t="str">
        <x:v>AC-G-09</x:v>
      </x:c>
      <x:c r="G14" s="24" t="str">
        <x:v>tests/e2e/app-shell.spec.ts</x:v>
      </x:c>
      <x:c r="H14" s="24" t="str">
        <x:v>有可见通知</x:v>
      </x:c>
      <x:c r="I14" s="24" t="str">
        <x:v>点击定位相关任务/节点</x:v>
      </x:c>
      <x:c r="J14" s="24" t="str">
        <x:v>对象已删除显示历史摘要</x:v>
      </x:c>
      <x:c r="K14" s="24" t="str">
        <x:v>重要错误保留到处理</x:v>
      </x:c>
      <x:c r="L14" s="24" t="str">
        <x:v>本地，不计费</x:v>
      </x:c>
      <x:c r="M14" s="26" t="str">
        <x:v>待实施</x:v>
      </x:c>
      <x:c r="N14" s="24" t="str"/>
      <x:c r="O14" s="24" t="str">
        <x:v>Design 1.0</x:v>
      </x:c>
    </x:row>
    <x:row r="15" ht="92" customHeight="1">
      <x:c r="A15" s="24" t="str">
        <x:v>G-10</x:v>
      </x:c>
      <x:c r="B15" s="24" t="str">
        <x:v>恢复布局</x:v>
      </x:c>
      <x:c r="C15" s="24" t="str">
        <x:v>P03</x:v>
      </x:c>
      <x:c r="D15" s="24" t="str">
        <x:v>本轮主线</x:v>
      </x:c>
      <x:c r="E15" s="24" t="str">
        <x:v>T11</x:v>
      </x:c>
      <x:c r="F15" s="24" t="str">
        <x:v>AC-G-10</x:v>
      </x:c>
      <x:c r="G15" s="24" t="str">
        <x:v>tests/e2e/app-shell.spec.ts</x:v>
      </x:c>
      <x:c r="H15" s="24" t="str">
        <x:v>画布页面</x:v>
      </x:c>
      <x:c r="I15" s="24" t="str">
        <x:v>还原面板宽度与位置，不改节点坐标</x:v>
      </x:c>
      <x:c r="J15" s="24" t="str">
        <x:v>布局存储失败提示</x:v>
      </x:c>
      <x:c r="K15" s="24" t="str">
        <x:v>操作可再次手动调整</x:v>
      </x:c>
      <x:c r="L15" s="24" t="str">
        <x:v>本地，不计费</x:v>
      </x:c>
      <x:c r="M15" s="26" t="str">
        <x:v>待实施</x:v>
      </x:c>
      <x:c r="N15" s="24" t="str"/>
      <x:c r="O15" s="24" t="str">
        <x:v>Design 1.0</x:v>
      </x:c>
    </x:row>
    <x:row r="16" ht="92" customHeight="1">
      <x:c r="A16" s="24" t="str">
        <x:v>W-01</x:v>
      </x:c>
      <x:c r="B16" s="24" t="str">
        <x:v>进入本地模式</x:v>
      </x:c>
      <x:c r="C16" s="24" t="str">
        <x:v>P01</x:v>
      </x:c>
      <x:c r="D16" s="24" t="str">
        <x:v>本轮主线</x:v>
      </x:c>
      <x:c r="E16" s="24" t="str">
        <x:v>T11</x:v>
      </x:c>
      <x:c r="F16" s="24" t="str">
        <x:v>AC-W-01</x:v>
      </x:c>
      <x:c r="G16" s="24" t="str">
        <x:v>tests/e2e/app-shell.spec.ts</x:v>
      </x:c>
      <x:c r="H16" s="24" t="str">
        <x:v>无需Key</x:v>
      </x:c>
      <x:c r="I16" s="24" t="str">
        <x:v>到项目主页，所有生成入口显示未连接提示</x:v>
      </x:c>
      <x:c r="J16" s="24" t="str">
        <x:v>存储不可用进入只读并允许导出</x:v>
      </x:c>
      <x:c r="K16" s="24" t="str">
        <x:v>记住引导完成状态</x:v>
      </x:c>
      <x:c r="L16" s="24" t="str">
        <x:v>本地，不计费</x:v>
      </x:c>
      <x:c r="M16" s="26" t="str">
        <x:v>待实施</x:v>
      </x:c>
      <x:c r="N16" s="24" t="str"/>
      <x:c r="O16" s="24" t="str">
        <x:v>Design 1.0</x:v>
      </x:c>
    </x:row>
    <x:row r="17" ht="92" customHeight="1">
      <x:c r="A17" s="24" t="str">
        <x:v>W-02</x:v>
      </x:c>
      <x:c r="B17" s="24" t="str">
        <x:v>Core地址输入</x:v>
      </x:c>
      <x:c r="C17" s="24" t="str">
        <x:v>P01</x:v>
      </x:c>
      <x:c r="D17" s="24" t="str">
        <x:v>本轮主线</x:v>
      </x:c>
      <x:c r="E17" s="24" t="str">
        <x:v>T11</x:v>
      </x:c>
      <x:c r="F17" s="24" t="str">
        <x:v>AC-W-02</x:v>
      </x:c>
      <x:c r="G17" s="24" t="str">
        <x:v>tests/e2e/app-shell.spec.ts</x:v>
      </x:c>
      <x:c r="H17" s="24" t="str">
        <x:v>受部署允许的地址</x:v>
      </x:c>
      <x:c r="I17" s="24" t="str">
        <x:v>去除末尾斜线；拒绝URL内用户名/密码/查询Key</x:v>
      </x:c>
      <x:c r="J17" s="24" t="str">
        <x:v>非法URL行内报错；不猜测修复域名</x:v>
      </x:c>
      <x:c r="K17" s="24" t="str">
        <x:v>保存地址与别名，不保存Key</x:v>
      </x:c>
      <x:c r="L17" s="24" t="str">
        <x:v>无请求</x:v>
      </x:c>
      <x:c r="M17" s="26" t="str">
        <x:v>待实施</x:v>
      </x:c>
      <x:c r="N17" s="24" t="str"/>
      <x:c r="O17" s="24" t="str">
        <x:v>Design 1.0</x:v>
      </x:c>
    </x:row>
    <x:row r="18" ht="92" customHeight="1">
      <x:c r="A18" s="24" t="str">
        <x:v>W-03</x:v>
      </x:c>
      <x:c r="B18" s="24" t="str">
        <x:v>普通Key输入</x:v>
      </x:c>
      <x:c r="C18" s="24" t="str">
        <x:v>P01</x:v>
      </x:c>
      <x:c r="D18" s="24" t="str">
        <x:v>本轮主线</x:v>
      </x:c>
      <x:c r="E18" s="24" t="str">
        <x:v>T11</x:v>
      </x:c>
      <x:c r="F18" s="24" t="str">
        <x:v>AC-W-03</x:v>
      </x:c>
      <x:c r="G18" s="24" t="str">
        <x:v>tests/e2e/app-shell.spec.ts</x:v>
      </x:c>
      <x:c r="H18" s="24" t="str">
        <x:v>用户明确输入</x:v>
      </x:c>
      <x:c r="I18" s="24" t="str">
        <x:v>密码框，不自动读取剪贴板或MCP配置</x:v>
      </x:c>
      <x:c r="J18" s="24" t="str">
        <x:v>空Key不测试；不把管理员密码当Key</x:v>
      </x:c>
      <x:c r="K18" s="24" t="str">
        <x:v>当前标签页内存保存</x:v>
      </x:c>
      <x:c r="L18" s="24" t="str">
        <x:v>无请求</x:v>
      </x:c>
      <x:c r="M18" s="26" t="str">
        <x:v>待实施</x:v>
      </x:c>
      <x:c r="N18" s="24" t="str"/>
      <x:c r="O18" s="24" t="str">
        <x:v>Design 1.0</x:v>
      </x:c>
    </x:row>
    <x:row r="19" ht="92" customHeight="1">
      <x:c r="A19" s="24" t="str">
        <x:v>W-04</x:v>
      </x:c>
      <x:c r="B19" s="24" t="str">
        <x:v>显示/隐藏Key</x:v>
      </x:c>
      <x:c r="C19" s="24" t="str">
        <x:v>P01</x:v>
      </x:c>
      <x:c r="D19" s="24" t="str">
        <x:v>本轮主线</x:v>
      </x:c>
      <x:c r="E19" s="24" t="str">
        <x:v>T11</x:v>
      </x:c>
      <x:c r="F19" s="24" t="str">
        <x:v>AC-W-04</x:v>
      </x:c>
      <x:c r="G19" s="24" t="str">
        <x:v>tests/e2e/app-shell.spec.ts</x:v>
      </x:c>
      <x:c r="H19" s="24" t="str">
        <x:v>当前已输入</x:v>
      </x:c>
      <x:c r="I19" s="24" t="str">
        <x:v>按住或点击临时显示，失焦隐藏</x:v>
      </x:c>
      <x:c r="J19" s="24" t="str">
        <x:v>不复制到日志</x:v>
      </x:c>
      <x:c r="K19" s="24" t="str">
        <x:v>不改变保存策略</x:v>
      </x:c>
      <x:c r="L19" s="24" t="str">
        <x:v>无请求</x:v>
      </x:c>
      <x:c r="M19" s="26" t="str">
        <x:v>待实施</x:v>
      </x:c>
      <x:c r="N19" s="24" t="str"/>
      <x:c r="O19" s="24" t="str">
        <x:v>Design 1.0</x:v>
      </x:c>
    </x:row>
    <x:row r="20" ht="92" customHeight="1">
      <x:c r="A20" s="24" t="str">
        <x:v>W-05</x:v>
      </x:c>
      <x:c r="B20" s="24" t="str">
        <x:v>测试连接</x:v>
      </x:c>
      <x:c r="C20" s="24" t="str">
        <x:v>P01</x:v>
      </x:c>
      <x:c r="D20" s="24" t="str">
        <x:v>本轮主线</x:v>
      </x:c>
      <x:c r="E20" s="24" t="str">
        <x:v>T11</x:v>
      </x:c>
      <x:c r="F20" s="24" t="str">
        <x:v>AC-W-05</x:v>
      </x:c>
      <x:c r="G20" s="24" t="str">
        <x:v>tests/e2e/app-shell.spec.ts</x:v>
      </x:c>
      <x:c r="H20" s="24" t="str">
        <x:v>地址合法且有Key</x:v>
      </x:c>
      <x:c r="I20" s="24" t="str">
        <x:v>依次健康检查和模型列表；显示每步结果</x:v>
      </x:c>
      <x:c r="J20" s="24" t="str">
        <x:v>区分401/403/404/网络；不发送视频测试</x:v>
      </x:c>
      <x:c r="K20" s="24" t="str">
        <x:v>记录时间及脱敏状态</x:v>
      </x:c>
      <x:c r="L20" s="24" t="str">
        <x:v>GET /healthz与/v1/models；不生成</x:v>
      </x:c>
      <x:c r="M20" s="26" t="str">
        <x:v>待实施</x:v>
      </x:c>
      <x:c r="N20" s="24" t="str"/>
      <x:c r="O20" s="24" t="str">
        <x:v>Design 1.0</x:v>
      </x:c>
    </x:row>
    <x:row r="21" ht="92" customHeight="1">
      <x:c r="A21" s="24" t="str">
        <x:v>W-06</x:v>
      </x:c>
      <x:c r="B21" s="24" t="str">
        <x:v>继续创建项目</x:v>
      </x:c>
      <x:c r="C21" s="24" t="str">
        <x:v>P01</x:v>
      </x:c>
      <x:c r="D21" s="24" t="str">
        <x:v>本轮主线</x:v>
      </x:c>
      <x:c r="E21" s="24" t="str">
        <x:v>T11</x:v>
      </x:c>
      <x:c r="F21" s="24" t="str">
        <x:v>AC-W-06</x:v>
      </x:c>
      <x:c r="G21" s="24" t="str">
        <x:v>tests/e2e/app-shell.spec.ts</x:v>
      </x:c>
      <x:c r="H21" s="24" t="str">
        <x:v>本地可写</x:v>
      </x:c>
      <x:c r="I21" s="24" t="str">
        <x:v>进入新项目对话框；连接可稍后处理</x:v>
      </x:c>
      <x:c r="J21" s="24" t="str">
        <x:v>没有视频权限仍可创作</x:v>
      </x:c>
      <x:c r="K21" s="24" t="str">
        <x:v>写引导完成状态</x:v>
      </x:c>
      <x:c r="L21" s="24" t="str">
        <x:v>本地，不计费</x:v>
      </x:c>
      <x:c r="M21" s="26" t="str">
        <x:v>待实施</x:v>
      </x:c>
      <x:c r="N21" s="24" t="str"/>
      <x:c r="O21" s="24" t="str">
        <x:v>Design 1.0</x:v>
      </x:c>
    </x:row>
    <x:row r="22" ht="92" customHeight="1">
      <x:c r="A22" s="24" t="str">
        <x:v>P-01</x:v>
      </x:c>
      <x:c r="B22" s="24" t="str">
        <x:v>新建项目</x:v>
      </x:c>
      <x:c r="C22" s="24" t="str">
        <x:v>P02</x:v>
      </x:c>
      <x:c r="D22" s="24" t="str">
        <x:v>本轮主线</x:v>
      </x:c>
      <x:c r="E22" s="24" t="str">
        <x:v>T12</x:v>
      </x:c>
      <x:c r="F22" s="24" t="str">
        <x:v>AC-P-01</x:v>
      </x:c>
      <x:c r="G22" s="24" t="str">
        <x:v>tests/e2e/project-library.spec.ts</x:v>
      </x:c>
      <x:c r="H22" s="24" t="str">
        <x:v>本地可写</x:v>
      </x:c>
      <x:c r="I22" s="24" t="str">
        <x:v>输入名称后创建空项目并打开画布</x:v>
      </x:c>
      <x:c r="J22" s="24" t="str">
        <x:v>名称1–60字符；默认未命名项目可重名</x:v>
      </x:c>
      <x:c r="K22" s="24" t="str">
        <x:v>写项目记录；可软删除</x:v>
      </x:c>
      <x:c r="L22" s="24" t="str">
        <x:v>本地，不计费</x:v>
      </x:c>
      <x:c r="M22" s="26" t="str">
        <x:v>待实施</x:v>
      </x:c>
      <x:c r="N22" s="24" t="str"/>
      <x:c r="O22" s="24" t="str">
        <x:v>Design 1.0</x:v>
      </x:c>
    </x:row>
    <x:row r="23" ht="92" customHeight="1">
      <x:c r="A23" s="24" t="str">
        <x:v>P-02</x:v>
      </x:c>
      <x:c r="B23" s="24" t="str">
        <x:v>使用本地模板</x:v>
      </x:c>
      <x:c r="C23" s="24" t="str">
        <x:v>P02</x:v>
      </x:c>
      <x:c r="D23" s="24" t="str">
        <x:v>本轮主线</x:v>
      </x:c>
      <x:c r="E23" s="24" t="str">
        <x:v>T12</x:v>
      </x:c>
      <x:c r="F23" s="24" t="str">
        <x:v>AC-P-02</x:v>
      </x:c>
      <x:c r="G23" s="24" t="str">
        <x:v>tests/e2e/project-library.spec.ts</x:v>
      </x:c>
      <x:c r="H23" s="24" t="str">
        <x:v>模板来自内置或显式导入</x:v>
      </x:c>
      <x:c r="I23" s="24" t="str">
        <x:v>预览节点后创建新项目，不带任务与授权</x:v>
      </x:c>
      <x:c r="J23" s="24" t="str">
        <x:v>未知节点隔离；不可偷偷执行</x:v>
      </x:c>
      <x:c r="K23" s="24" t="str">
        <x:v>复制模板结构与参数</x:v>
      </x:c>
      <x:c r="L23" s="24" t="str">
        <x:v>本地，不计费</x:v>
      </x:c>
      <x:c r="M23" s="26" t="str">
        <x:v>待实施</x:v>
      </x:c>
      <x:c r="N23" s="24" t="str"/>
      <x:c r="O23" s="24" t="str">
        <x:v>Design 1.0</x:v>
      </x:c>
    </x:row>
    <x:row r="24" ht="92" customHeight="1">
      <x:c r="A24" s="24" t="str">
        <x:v>P-03</x:v>
      </x:c>
      <x:c r="B24" s="24" t="str">
        <x:v>打开项目</x:v>
      </x:c>
      <x:c r="C24" s="24" t="str">
        <x:v>P02</x:v>
      </x:c>
      <x:c r="D24" s="24" t="str">
        <x:v>本轮主线</x:v>
      </x:c>
      <x:c r="E24" s="24" t="str">
        <x:v>T12</x:v>
      </x:c>
      <x:c r="F24" s="24" t="str">
        <x:v>AC-P-03</x:v>
      </x:c>
      <x:c r="G24" s="24" t="str">
        <x:v>tests/e2e/project-library.spec.ts</x:v>
      </x:c>
      <x:c r="H24" s="24" t="str">
        <x:v>项目可解析</x:v>
      </x:c>
      <x:c r="I24" s="24" t="str">
        <x:v>恢复位置、素材与任务卡；不自动提交</x:v>
      </x:c>
      <x:c r="J24" s="24" t="str">
        <x:v>锁冲突先只读；缺素材定位修复</x:v>
      </x:c>
      <x:c r="K24" s="24" t="str">
        <x:v>读取本地projectId</x:v>
      </x:c>
      <x:c r="L24" s="24" t="str">
        <x:v>本地；查询任务按授权恢复</x:v>
      </x:c>
      <x:c r="M24" s="26" t="str">
        <x:v>待实施</x:v>
      </x:c>
      <x:c r="N24" s="24" t="str"/>
      <x:c r="O24" s="24" t="str">
        <x:v>Design 1.0</x:v>
      </x:c>
    </x:row>
    <x:row r="25" ht="92" customHeight="1">
      <x:c r="A25" s="24" t="str">
        <x:v>P-04</x:v>
      </x:c>
      <x:c r="B25" s="24" t="str">
        <x:v>重命名</x:v>
      </x:c>
      <x:c r="C25" s="24" t="str">
        <x:v>P02</x:v>
      </x:c>
      <x:c r="D25" s="24" t="str">
        <x:v>本轮主线</x:v>
      </x:c>
      <x:c r="E25" s="24" t="str">
        <x:v>T12</x:v>
      </x:c>
      <x:c r="F25" s="24" t="str">
        <x:v>AC-P-04</x:v>
      </x:c>
      <x:c r="G25" s="24" t="str">
        <x:v>tests/e2e/project-library.spec.ts</x:v>
      </x:c>
      <x:c r="H25" s="24" t="str">
        <x:v>非只读</x:v>
      </x:c>
      <x:c r="I25" s="24" t="str">
        <x:v>Enter保存，Esc取消，名称即时更新</x:v>
      </x:c>
      <x:c r="J25" s="24" t="str">
        <x:v>空白/超长行内提示</x:v>
      </x:c>
      <x:c r="K25" s="24" t="str">
        <x:v>可撤销；更新modifiedAt</x:v>
      </x:c>
      <x:c r="L25" s="24" t="str">
        <x:v>本地，不计费</x:v>
      </x:c>
      <x:c r="M25" s="26" t="str">
        <x:v>待实施</x:v>
      </x:c>
      <x:c r="N25" s="24" t="str"/>
      <x:c r="O25" s="24" t="str">
        <x:v>Design 1.0</x:v>
      </x:c>
    </x:row>
    <x:row r="26" ht="92" customHeight="1">
      <x:c r="A26" s="24" t="str">
        <x:v>P-05</x:v>
      </x:c>
      <x:c r="B26" s="24" t="str">
        <x:v>复制项目</x:v>
      </x:c>
      <x:c r="C26" s="24" t="str">
        <x:v>P02</x:v>
      </x:c>
      <x:c r="D26" s="24" t="str">
        <x:v>本轮主线</x:v>
      </x:c>
      <x:c r="E26" s="24" t="str">
        <x:v>T12</x:v>
      </x:c>
      <x:c r="F26" s="24" t="str">
        <x:v>AC-P-05</x:v>
      </x:c>
      <x:c r="G26" s="24" t="str">
        <x:v>tests/e2e/project-library.spec.ts</x:v>
      </x:c>
      <x:c r="H26" s="24" t="str">
        <x:v>项目可读</x:v>
      </x:c>
      <x:c r="I26" s="24" t="str">
        <x:v>复制结构和资源引用；默认历史只读，不复制运行队列</x:v>
      </x:c>
      <x:c r="J26" s="24" t="str">
        <x:v>容量不足无半成品</x:v>
      </x:c>
      <x:c r="K26" s="24" t="str">
        <x:v>新ID；共享blob引用计数</x:v>
      </x:c>
      <x:c r="L26" s="24" t="str">
        <x:v>本地，不计费</x:v>
      </x:c>
      <x:c r="M26" s="26" t="str">
        <x:v>待实施</x:v>
      </x:c>
      <x:c r="N26" s="24" t="str"/>
      <x:c r="O26" s="24" t="str">
        <x:v>Design 1.0</x:v>
      </x:c>
    </x:row>
    <x:row r="27" ht="92" customHeight="1">
      <x:c r="A27" s="24" t="str">
        <x:v>P-06</x:v>
      </x:c>
      <x:c r="B27" s="24" t="str">
        <x:v>收藏/取消收藏</x:v>
      </x:c>
      <x:c r="C27" s="24" t="str">
        <x:v>P02</x:v>
      </x:c>
      <x:c r="D27" s="24" t="str">
        <x:v>本轮主线</x:v>
      </x:c>
      <x:c r="E27" s="24" t="str">
        <x:v>T12</x:v>
      </x:c>
      <x:c r="F27" s="24" t="str">
        <x:v>AC-P-06</x:v>
      </x:c>
      <x:c r="G27" s="24" t="str">
        <x:v>tests/e2e/project-library.spec.ts</x:v>
      </x:c>
      <x:c r="H27" s="24" t="str">
        <x:v>项目存在</x:v>
      </x:c>
      <x:c r="I27" s="24" t="str">
        <x:v>仅调整星标</x:v>
      </x:c>
      <x:c r="J27" s="24" t="str">
        <x:v>写入失败恢复原状态</x:v>
      </x:c>
      <x:c r="K27" s="24" t="str">
        <x:v>可逆，本地</x:v>
      </x:c>
      <x:c r="L27" s="24" t="str">
        <x:v>本地，不计费</x:v>
      </x:c>
      <x:c r="M27" s="26" t="str">
        <x:v>待实施</x:v>
      </x:c>
      <x:c r="N27" s="24" t="str"/>
      <x:c r="O27" s="24" t="str">
        <x:v>Design 1.0</x:v>
      </x:c>
    </x:row>
    <x:row r="28" ht="92" customHeight="1">
      <x:c r="A28" s="24" t="str">
        <x:v>P-07</x:v>
      </x:c>
      <x:c r="B28" s="24" t="str">
        <x:v>归档/取消归档</x:v>
      </x:c>
      <x:c r="C28" s="24" t="str">
        <x:v>P02</x:v>
      </x:c>
      <x:c r="D28" s="24" t="str">
        <x:v>本轮主线</x:v>
      </x:c>
      <x:c r="E28" s="24" t="str">
        <x:v>T12</x:v>
      </x:c>
      <x:c r="F28" s="24" t="str">
        <x:v>AC-P-07</x:v>
      </x:c>
      <x:c r="G28" s="24" t="str">
        <x:v>tests/e2e/project-library.spec.ts</x:v>
      </x:c>
      <x:c r="H28" s="24" t="str">
        <x:v>项目存在</x:v>
      </x:c>
      <x:c r="I28" s="24" t="str">
        <x:v>归档不阻止远端任务；归档项目仍可查</x:v>
      </x:c>
      <x:c r="J28" s="24" t="str">
        <x:v>状态未知任务保留追踪</x:v>
      </x:c>
      <x:c r="K28" s="24" t="str">
        <x:v>可逆，本地</x:v>
      </x:c>
      <x:c r="L28" s="24" t="str">
        <x:v>本地，不计费</x:v>
      </x:c>
      <x:c r="M28" s="26" t="str">
        <x:v>待实施</x:v>
      </x:c>
      <x:c r="N28" s="24" t="str"/>
      <x:c r="O28" s="24" t="str">
        <x:v>Design 1.0</x:v>
      </x:c>
    </x:row>
    <x:row r="29" ht="92" customHeight="1">
      <x:c r="A29" s="24" t="str">
        <x:v>P-08</x:v>
      </x:c>
      <x:c r="B29" s="24" t="str">
        <x:v>移入回收站</x:v>
      </x:c>
      <x:c r="C29" s="24" t="str">
        <x:v>P02</x:v>
      </x:c>
      <x:c r="D29" s="24" t="str">
        <x:v>本轮主线</x:v>
      </x:c>
      <x:c r="E29" s="24" t="str">
        <x:v>T12</x:v>
      </x:c>
      <x:c r="F29" s="24" t="str">
        <x:v>AC-P-08</x:v>
      </x:c>
      <x:c r="G29" s="24" t="str">
        <x:v>tests/e2e/project-library.spec.ts</x:v>
      </x:c>
      <x:c r="H29" s="24" t="str">
        <x:v>确认影响</x:v>
      </x:c>
      <x:c r="I29" s="24" t="str">
        <x:v>显示活动任务数量；软删除项目</x:v>
      </x:c>
      <x:c r="J29" s="24" t="str">
        <x:v>不可取消远端任务；不能表示删除完成即停止</x:v>
      </x:c>
      <x:c r="K29" s="24" t="str">
        <x:v>可恢复；追踪记录保留</x:v>
      </x:c>
      <x:c r="L29" s="24" t="str">
        <x:v>本地，不计费</x:v>
      </x:c>
      <x:c r="M29" s="26" t="str">
        <x:v>待实施</x:v>
      </x:c>
      <x:c r="N29" s="24" t="str"/>
      <x:c r="O29" s="24" t="str">
        <x:v>Design 1.0</x:v>
      </x:c>
    </x:row>
    <x:row r="30" ht="92" customHeight="1">
      <x:c r="A30" s="24" t="str">
        <x:v>P-09</x:v>
      </x:c>
      <x:c r="B30" s="24" t="str">
        <x:v>选择/批量选择</x:v>
      </x:c>
      <x:c r="C30" s="24" t="str">
        <x:v>P02</x:v>
      </x:c>
      <x:c r="D30" s="24" t="str">
        <x:v>本轮主线</x:v>
      </x:c>
      <x:c r="E30" s="24" t="str">
        <x:v>T12</x:v>
      </x:c>
      <x:c r="F30" s="24" t="str">
        <x:v>AC-P-09</x:v>
      </x:c>
      <x:c r="G30" s="24" t="str">
        <x:v>tests/e2e/project-library.spec.ts</x:v>
      </x:c>
      <x:c r="H30" s="24" t="str">
        <x:v>列表非空</x:v>
      </x:c>
      <x:c r="I30" s="24" t="str">
        <x:v>出现数量与批量菜单</x:v>
      </x:c>
      <x:c r="J30" s="24" t="str">
        <x:v>跨页选择须显示范围</x:v>
      </x:c>
      <x:c r="K30" s="24" t="str">
        <x:v>选择不持久化</x:v>
      </x:c>
      <x:c r="L30" s="24" t="str">
        <x:v>本地，不计费</x:v>
      </x:c>
      <x:c r="M30" s="26" t="str">
        <x:v>待实施</x:v>
      </x:c>
      <x:c r="N30" s="24" t="str"/>
      <x:c r="O30" s="24" t="str">
        <x:v>Design 1.0</x:v>
      </x:c>
    </x:row>
    <x:row r="31" ht="92" customHeight="1">
      <x:c r="A31" s="24" t="str">
        <x:v>P-10</x:v>
      </x:c>
      <x:c r="B31" s="24" t="str">
        <x:v>批量归档</x:v>
      </x:c>
      <x:c r="C31" s="24" t="str">
        <x:v>P02</x:v>
      </x:c>
      <x:c r="D31" s="24" t="str">
        <x:v>本轮主线</x:v>
      </x:c>
      <x:c r="E31" s="24" t="str">
        <x:v>T12</x:v>
      </x:c>
      <x:c r="F31" s="24" t="str">
        <x:v>AC-P-10</x:v>
      </x:c>
      <x:c r="G31" s="24" t="str">
        <x:v>tests/e2e/project-library.spec.ts</x:v>
      </x:c>
      <x:c r="H31" s="24" t="str">
        <x:v>已选项目</x:v>
      </x:c>
      <x:c r="I31" s="24" t="str">
        <x:v>显示准确数量后更新</x:v>
      </x:c>
      <x:c r="J31" s="24" t="str">
        <x:v>部分失败逐项报告</x:v>
      </x:c>
      <x:c r="K31" s="24" t="str">
        <x:v>逐项可恢复</x:v>
      </x:c>
      <x:c r="L31" s="24" t="str">
        <x:v>本地，不计费</x:v>
      </x:c>
      <x:c r="M31" s="26" t="str">
        <x:v>待实施</x:v>
      </x:c>
      <x:c r="N31" s="24" t="str"/>
      <x:c r="O31" s="24" t="str">
        <x:v>Design 1.0</x:v>
      </x:c>
    </x:row>
    <x:row r="32" ht="92" customHeight="1">
      <x:c r="A32" s="24" t="str">
        <x:v>P-11</x:v>
      </x:c>
      <x:c r="B32" s="24" t="str">
        <x:v>批量导出</x:v>
      </x:c>
      <x:c r="C32" s="24" t="str">
        <x:v>P02</x:v>
      </x:c>
      <x:c r="D32" s="24" t="str">
        <x:v>本轮主线</x:v>
      </x:c>
      <x:c r="E32" s="24" t="str">
        <x:v>T12</x:v>
      </x:c>
      <x:c r="F32" s="24" t="str">
        <x:v>AC-P-11</x:v>
      </x:c>
      <x:c r="G32" s="24" t="str">
        <x:v>tests/e2e/project-library.spec.ts</x:v>
      </x:c>
      <x:c r="H32" s="24" t="str">
        <x:v>已选项目</x:v>
      </x:c>
      <x:c r="I32" s="24" t="str">
        <x:v>生成含清单的备份包；核对敏感信息排除</x:v>
      </x:c>
      <x:c r="J32" s="24" t="str">
        <x:v>容量不足停止；不生成空成功包</x:v>
      </x:c>
      <x:c r="K32" s="24" t="str">
        <x:v>不包含Key；结果保留</x:v>
      </x:c>
      <x:c r="L32" s="24" t="str">
        <x:v>本地，不计费</x:v>
      </x:c>
      <x:c r="M32" s="26" t="str">
        <x:v>待实施</x:v>
      </x:c>
      <x:c r="N32" s="24" t="str"/>
      <x:c r="O32" s="24" t="str">
        <x:v>Design 1.0</x:v>
      </x:c>
    </x:row>
    <x:row r="33" ht="92" customHeight="1">
      <x:c r="A33" s="24" t="str">
        <x:v>P-12</x:v>
      </x:c>
      <x:c r="B33" s="24" t="str">
        <x:v>筛选/排序</x:v>
      </x:c>
      <x:c r="C33" s="24" t="str">
        <x:v>P02</x:v>
      </x:c>
      <x:c r="D33" s="24" t="str">
        <x:v>本轮主线</x:v>
      </x:c>
      <x:c r="E33" s="24" t="str">
        <x:v>T12</x:v>
      </x:c>
      <x:c r="F33" s="24" t="str">
        <x:v>AC-P-12</x:v>
      </x:c>
      <x:c r="G33" s="24" t="str">
        <x:v>tests/e2e/project-library.spec.ts</x:v>
      </x:c>
      <x:c r="H33" s="24" t="str">
        <x:v>列表页</x:v>
      </x:c>
      <x:c r="I33" s="24" t="str">
        <x:v>名称/最近修改/收藏/归档筛选</x:v>
      </x:c>
      <x:c r="J33" s="24" t="str">
        <x:v>空结果保留清除入口</x:v>
      </x:c>
      <x:c r="K33" s="24" t="str">
        <x:v>仅记住排序偏好</x:v>
      </x:c>
      <x:c r="L33" s="24" t="str">
        <x:v>本地，不计费</x:v>
      </x:c>
      <x:c r="M33" s="26" t="str">
        <x:v>待实施</x:v>
      </x:c>
      <x:c r="N33" s="24" t="str"/>
      <x:c r="O33" s="24" t="str">
        <x:v>Design 1.0</x:v>
      </x:c>
    </x:row>
    <x:row r="34" ht="92" customHeight="1">
      <x:c r="A34" s="24" t="str">
        <x:v>P-13</x:v>
      </x:c>
      <x:c r="B34" s="24" t="str">
        <x:v>网格/列表切换</x:v>
      </x:c>
      <x:c r="C34" s="24" t="str">
        <x:v>P02</x:v>
      </x:c>
      <x:c r="D34" s="24" t="str">
        <x:v>本轮主线</x:v>
      </x:c>
      <x:c r="E34" s="24" t="str">
        <x:v>T12</x:v>
      </x:c>
      <x:c r="F34" s="24" t="str">
        <x:v>AC-P-13</x:v>
      </x:c>
      <x:c r="G34" s="24" t="str">
        <x:v>tests/e2e/project-library.spec.ts</x:v>
      </x:c>
      <x:c r="H34" s="24" t="str">
        <x:v>列表页</x:v>
      </x:c>
      <x:c r="I34" s="24" t="str">
        <x:v>保留筛选、滚动附近位置与选择</x:v>
      </x:c>
      <x:c r="J34" s="24" t="str">
        <x:v>无失败副作用</x:v>
      </x:c>
      <x:c r="K34" s="24" t="str">
        <x:v>本地UI偏好</x:v>
      </x:c>
      <x:c r="L34" s="24" t="str">
        <x:v>本地，不计费</x:v>
      </x:c>
      <x:c r="M34" s="26" t="str">
        <x:v>待实施</x:v>
      </x:c>
      <x:c r="N34" s="24" t="str"/>
      <x:c r="O34" s="24" t="str">
        <x:v>Design 1.0</x:v>
      </x:c>
    </x:row>
    <x:row r="35" ht="92" customHeight="1">
      <x:c r="A35" s="24" t="str">
        <x:v>P-14</x:v>
      </x:c>
      <x:c r="B35" s="24" t="str">
        <x:v>项目详情</x:v>
      </x:c>
      <x:c r="C35" s="24" t="str">
        <x:v>P02</x:v>
      </x:c>
      <x:c r="D35" s="24" t="str">
        <x:v>本轮主线</x:v>
      </x:c>
      <x:c r="E35" s="24" t="str">
        <x:v>T12</x:v>
      </x:c>
      <x:c r="F35" s="24" t="str">
        <x:v>AC-P-14</x:v>
      </x:c>
      <x:c r="G35" s="24" t="str">
        <x:v>tests/e2e/project-library.spec.ts</x:v>
      </x:c>
      <x:c r="H35" s="24" t="str">
        <x:v>选中一项</x:v>
      </x:c>
      <x:c r="I35" s="24" t="str">
        <x:v>显示本地大小、素材数量、任务绑定与最后备份</x:v>
      </x:c>
      <x:c r="J35" s="24" t="str">
        <x:v>未知容量显示未统计</x:v>
      </x:c>
      <x:c r="K35" s="24" t="str">
        <x:v>只读</x:v>
      </x:c>
      <x:c r="L35" s="24" t="str">
        <x:v>本地，不计费</x:v>
      </x:c>
      <x:c r="M35" s="26" t="str">
        <x:v>待实施</x:v>
      </x:c>
      <x:c r="N35" s="24" t="str"/>
      <x:c r="O35" s="24" t="str">
        <x:v>Design 1.0</x:v>
      </x:c>
    </x:row>
    <x:row r="36" ht="92" customHeight="1">
      <x:c r="A36" s="24" t="str">
        <x:v>C-01</x:v>
      </x:c>
      <x:c r="B36" s="24" t="str">
        <x:v>选择工具</x:v>
      </x:c>
      <x:c r="C36" s="24" t="str">
        <x:v>P03</x:v>
      </x:c>
      <x:c r="D36" s="24" t="str">
        <x:v>本轮主线</x:v>
      </x:c>
      <x:c r="E36" s="24" t="str">
        <x:v>T13</x:v>
      </x:c>
      <x:c r="F36" s="24" t="str">
        <x:v>AC-C-01</x:v>
      </x:c>
      <x:c r="G36" s="24" t="str">
        <x:v>tests/e2e/canvas-viewport.spec.ts</x:v>
      </x:c>
      <x:c r="H36" s="24" t="str">
        <x:v>画布可交互</x:v>
      </x:c>
      <x:c r="I36" s="24" t="str">
        <x:v>V切换；单击选中，Shift切换选择</x:v>
      </x:c>
      <x:c r="J36" s="24" t="str">
        <x:v>输入框内V不拦截</x:v>
      </x:c>
      <x:c r="K36" s="24" t="str">
        <x:v>选区不生成新版本</x:v>
      </x:c>
      <x:c r="L36" s="24" t="str">
        <x:v>本地，不计费</x:v>
      </x:c>
      <x:c r="M36" s="26" t="str">
        <x:v>待实施</x:v>
      </x:c>
      <x:c r="N36" s="24" t="str"/>
      <x:c r="O36" s="24" t="str">
        <x:v>Design 1.0</x:v>
      </x:c>
    </x:row>
    <x:row r="37" ht="92" customHeight="1">
      <x:c r="A37" s="24" t="str">
        <x:v>C-02</x:v>
      </x:c>
      <x:c r="B37" s="24" t="str">
        <x:v>平移工具</x:v>
      </x:c>
      <x:c r="C37" s="24" t="str">
        <x:v>P03</x:v>
      </x:c>
      <x:c r="D37" s="24" t="str">
        <x:v>本轮主线</x:v>
      </x:c>
      <x:c r="E37" s="24" t="str">
        <x:v>T13</x:v>
      </x:c>
      <x:c r="F37" s="24" t="str">
        <x:v>AC-C-02</x:v>
      </x:c>
      <x:c r="G37" s="24" t="str">
        <x:v>tests/e2e/canvas-viewport.spec.ts</x:v>
      </x:c>
      <x:c r="H37" s="24" t="str">
        <x:v>画布可交互</x:v>
      </x:c>
      <x:c r="I37" s="24" t="str">
        <x:v>H或按住空格；中键也可平移</x:v>
      </x:c>
      <x:c r="J37" s="24" t="str">
        <x:v>拖动在弹窗中不生效</x:v>
      </x:c>
      <x:c r="K37" s="24" t="str">
        <x:v>保存视口</x:v>
      </x:c>
      <x:c r="L37" s="24" t="str">
        <x:v>本地，不计费</x:v>
      </x:c>
      <x:c r="M37" s="26" t="str">
        <x:v>待实施</x:v>
      </x:c>
      <x:c r="N37" s="24" t="str"/>
      <x:c r="O37" s="24" t="str">
        <x:v>Design 1.0</x:v>
      </x:c>
    </x:row>
    <x:row r="38" ht="92" customHeight="1">
      <x:c r="A38" s="24" t="str">
        <x:v>C-03</x:v>
      </x:c>
      <x:c r="B38" s="24" t="str">
        <x:v>框选</x:v>
      </x:c>
      <x:c r="C38" s="24" t="str">
        <x:v>P03</x:v>
      </x:c>
      <x:c r="D38" s="24" t="str">
        <x:v>本轮主线</x:v>
      </x:c>
      <x:c r="E38" s="24" t="str">
        <x:v>T13</x:v>
      </x:c>
      <x:c r="F38" s="24" t="str">
        <x:v>AC-C-03</x:v>
      </x:c>
      <x:c r="G38" s="24" t="str">
        <x:v>tests/e2e/canvas-viewport.spec.ts</x:v>
      </x:c>
      <x:c r="H38" s="24" t="str">
        <x:v>空白处选择模式拖动</x:v>
      </x:c>
      <x:c r="I38" s="24" t="str">
        <x:v>框内节点加入选区；可用节点列表替代</x:v>
      </x:c>
      <x:c r="J38" s="24" t="str">
        <x:v>锁定节点可选不可移动</x:v>
      </x:c>
      <x:c r="K38" s="24" t="str">
        <x:v>选区不持久化</x:v>
      </x:c>
      <x:c r="L38" s="24" t="str">
        <x:v>本地，不计费</x:v>
      </x:c>
      <x:c r="M38" s="26" t="str">
        <x:v>待实施</x:v>
      </x:c>
      <x:c r="N38" s="24" t="str"/>
      <x:c r="O38" s="24" t="str">
        <x:v>Design 1.0</x:v>
      </x:c>
    </x:row>
    <x:row r="39" ht="92" customHeight="1">
      <x:c r="A39" s="24" t="str">
        <x:v>C-04</x:v>
      </x:c>
      <x:c r="B39" s="24" t="str">
        <x:v>缩放 +/-</x:v>
      </x:c>
      <x:c r="C39" s="24" t="str">
        <x:v>P03</x:v>
      </x:c>
      <x:c r="D39" s="24" t="str">
        <x:v>本轮主线</x:v>
      </x:c>
      <x:c r="E39" s="24" t="str">
        <x:v>T13</x:v>
      </x:c>
      <x:c r="F39" s="24" t="str">
        <x:v>AC-C-04</x:v>
      </x:c>
      <x:c r="G39" s="24" t="str">
        <x:v>tests/e2e/canvas-viewport.spec.ts</x:v>
      </x:c>
      <x:c r="H39" s="24" t="str">
        <x:v>无模态遮挡</x:v>
      </x:c>
      <x:c r="I39" s="24" t="str">
        <x:v>以视口中心缩放；范围25%–200%</x:v>
      </x:c>
      <x:c r="J39" s="24" t="str">
        <x:v>不超出范围；禁用边界按钮</x:v>
      </x:c>
      <x:c r="K39" s="24" t="str">
        <x:v>保存视口</x:v>
      </x:c>
      <x:c r="L39" s="24" t="str">
        <x:v>本地，不计费</x:v>
      </x:c>
      <x:c r="M39" s="26" t="str">
        <x:v>待实施</x:v>
      </x:c>
      <x:c r="N39" s="24" t="str"/>
      <x:c r="O39" s="24" t="str">
        <x:v>Design 1.0</x:v>
      </x:c>
    </x:row>
    <x:row r="40" ht="92" customHeight="1">
      <x:c r="A40" s="24" t="str">
        <x:v>C-05</x:v>
      </x:c>
      <x:c r="B40" s="24" t="str">
        <x:v>缩放数值</x:v>
      </x:c>
      <x:c r="C40" s="24" t="str">
        <x:v>P03</x:v>
      </x:c>
      <x:c r="D40" s="24" t="str">
        <x:v>本轮主线</x:v>
      </x:c>
      <x:c r="E40" s="24" t="str">
        <x:v>T13</x:v>
      </x:c>
      <x:c r="F40" s="24" t="str">
        <x:v>AC-C-05</x:v>
      </x:c>
      <x:c r="G40" s="24" t="str">
        <x:v>tests/e2e/canvas-viewport.spec.ts</x:v>
      </x:c>
      <x:c r="H40" s="24" t="str">
        <x:v>画布页</x:v>
      </x:c>
      <x:c r="I40" s="24" t="str">
        <x:v>输入百分比；非法值恢复原值</x:v>
      </x:c>
      <x:c r="J40" s="24" t="str">
        <x:v>范围校验与错误提示</x:v>
      </x:c>
      <x:c r="K40" s="24" t="str">
        <x:v>保存视口</x:v>
      </x:c>
      <x:c r="L40" s="24" t="str">
        <x:v>本地，不计费</x:v>
      </x:c>
      <x:c r="M40" s="26" t="str">
        <x:v>待实施</x:v>
      </x:c>
      <x:c r="N40" s="24" t="str"/>
      <x:c r="O40" s="24" t="str">
        <x:v>Design 1.0</x:v>
      </x:c>
    </x:row>
    <x:row r="41" ht="92" customHeight="1">
      <x:c r="A41" s="24" t="str">
        <x:v>C-06</x:v>
      </x:c>
      <x:c r="B41" s="24" t="str">
        <x:v>适配全部</x:v>
      </x:c>
      <x:c r="C41" s="24" t="str">
        <x:v>P03</x:v>
      </x:c>
      <x:c r="D41" s="24" t="str">
        <x:v>本轮主线</x:v>
      </x:c>
      <x:c r="E41" s="24" t="str">
        <x:v>T13</x:v>
      </x:c>
      <x:c r="F41" s="24" t="str">
        <x:v>AC-C-06</x:v>
      </x:c>
      <x:c r="G41" s="24" t="str">
        <x:v>tests/e2e/canvas-viewport.spec.ts</x:v>
      </x:c>
      <x:c r="H41" s="24" t="str">
        <x:v>至少一节点</x:v>
      </x:c>
      <x:c r="I41" s="24" t="str">
        <x:v>计算边界留48px空白</x:v>
      </x:c>
      <x:c r="J41" s="24" t="str">
        <x:v>空画布回100%</x:v>
      </x:c>
      <x:c r="K41" s="24" t="str">
        <x:v>保存视口</x:v>
      </x:c>
      <x:c r="L41" s="24" t="str">
        <x:v>本地，不计费</x:v>
      </x:c>
      <x:c r="M41" s="26" t="str">
        <x:v>待实施</x:v>
      </x:c>
      <x:c r="N41" s="24" t="str"/>
      <x:c r="O41" s="24" t="str">
        <x:v>Design 1.0</x:v>
      </x:c>
    </x:row>
    <x:row r="42" ht="92" customHeight="1">
      <x:c r="A42" s="24" t="str">
        <x:v>C-07</x:v>
      </x:c>
      <x:c r="B42" s="24" t="str">
        <x:v>定位选中</x:v>
      </x:c>
      <x:c r="C42" s="24" t="str">
        <x:v>P03</x:v>
      </x:c>
      <x:c r="D42" s="24" t="str">
        <x:v>本轮主线</x:v>
      </x:c>
      <x:c r="E42" s="24" t="str">
        <x:v>T13</x:v>
      </x:c>
      <x:c r="F42" s="24" t="str">
        <x:v>AC-C-07</x:v>
      </x:c>
      <x:c r="G42" s="24" t="str">
        <x:v>tests/e2e/canvas-viewport.spec.ts</x:v>
      </x:c>
      <x:c r="H42" s="24" t="str">
        <x:v>至少一节点</x:v>
      </x:c>
      <x:c r="I42" s="24" t="str">
        <x:v>居中选中节点，保留合理缩放</x:v>
      </x:c>
      <x:c r="J42" s="24" t="str">
        <x:v>未选中禁用</x:v>
      </x:c>
      <x:c r="K42" s="24" t="str">
        <x:v>只改视口</x:v>
      </x:c>
      <x:c r="L42" s="24" t="str">
        <x:v>本地，不计费</x:v>
      </x:c>
      <x:c r="M42" s="26" t="str">
        <x:v>待实施</x:v>
      </x:c>
      <x:c r="N42" s="24" t="str"/>
      <x:c r="O42" s="24" t="str">
        <x:v>Design 1.0</x:v>
      </x:c>
    </x:row>
    <x:row r="43" ht="92" customHeight="1">
      <x:c r="A43" s="24" t="str">
        <x:v>C-08</x:v>
      </x:c>
      <x:c r="B43" s="24" t="str">
        <x:v>小地图开关</x:v>
      </x:c>
      <x:c r="C43" s="24" t="str">
        <x:v>P03</x:v>
      </x:c>
      <x:c r="D43" s="24" t="str">
        <x:v>本轮主线</x:v>
      </x:c>
      <x:c r="E43" s="24" t="str">
        <x:v>T13</x:v>
      </x:c>
      <x:c r="F43" s="24" t="str">
        <x:v>AC-C-08</x:v>
      </x:c>
      <x:c r="G43" s="24" t="str">
        <x:v>tests/e2e/canvas-viewport.spec.ts</x:v>
      </x:c>
      <x:c r="H43" s="24" t="str">
        <x:v>画布页</x:v>
      </x:c>
      <x:c r="I43" s="24" t="str">
        <x:v>显示/收起；点击跳到位置</x:v>
      </x:c>
      <x:c r="J43" s="24" t="str">
        <x:v>小屏自动隐藏仍能设置恢复</x:v>
      </x:c>
      <x:c r="K43" s="24" t="str">
        <x:v>UI偏好</x:v>
      </x:c>
      <x:c r="L43" s="24" t="str">
        <x:v>本地，不计费</x:v>
      </x:c>
      <x:c r="M43" s="26" t="str">
        <x:v>待实施</x:v>
      </x:c>
      <x:c r="N43" s="24" t="str"/>
      <x:c r="O43" s="24" t="str">
        <x:v>Design 1.0</x:v>
      </x:c>
    </x:row>
    <x:row r="44" ht="92" customHeight="1">
      <x:c r="A44" s="24" t="str">
        <x:v>C-09</x:v>
      </x:c>
      <x:c r="B44" s="24" t="str">
        <x:v>画布背景</x:v>
      </x:c>
      <x:c r="C44" s="24" t="str">
        <x:v>P03</x:v>
      </x:c>
      <x:c r="D44" s="24" t="str">
        <x:v>本轮主线</x:v>
      </x:c>
      <x:c r="E44" s="24" t="str">
        <x:v>T13</x:v>
      </x:c>
      <x:c r="F44" s="24" t="str">
        <x:v>AC-C-09</x:v>
      </x:c>
      <x:c r="G44" s="24" t="str">
        <x:v>tests/e2e/canvas-viewport.spec.ts</x:v>
      </x:c>
      <x:c r="H44" s="24" t="str">
        <x:v>画布页</x:v>
      </x:c>
      <x:c r="I44" s="24" t="str">
        <x:v>点阵/网格/纯色；默认点阵</x:v>
      </x:c>
      <x:c r="J44" s="24" t="str">
        <x:v>主题切换保持可见度</x:v>
      </x:c>
      <x:c r="K44" s="24" t="str">
        <x:v>项目UI设置</x:v>
      </x:c>
      <x:c r="L44" s="24" t="str">
        <x:v>本地，不计费</x:v>
      </x:c>
      <x:c r="M44" s="26" t="str">
        <x:v>待实施</x:v>
      </x:c>
      <x:c r="N44" s="24" t="str"/>
      <x:c r="O44" s="24" t="str">
        <x:v>Design 1.0</x:v>
      </x:c>
    </x:row>
    <x:row r="45" ht="92" customHeight="1">
      <x:c r="A45" s="24" t="str">
        <x:v>C-10</x:v>
      </x:c>
      <x:c r="B45" s="24" t="str">
        <x:v>添加节点</x:v>
      </x:c>
      <x:c r="C45" s="24" t="str">
        <x:v>P03</x:v>
      </x:c>
      <x:c r="D45" s="24" t="str">
        <x:v>本轮主线</x:v>
      </x:c>
      <x:c r="E45" s="24" t="str">
        <x:v>T13</x:v>
      </x:c>
      <x:c r="F45" s="24" t="str">
        <x:v>AC-C-10</x:v>
      </x:c>
      <x:c r="G45" s="24" t="str">
        <x:v>tests/e2e/canvas-viewport.spec.ts</x:v>
      </x:c>
      <x:c r="H45" s="24" t="str">
        <x:v>可编辑</x:v>
      </x:c>
      <x:c r="I45" s="24" t="str">
        <x:v>弹菜单：文本/素材/视频生成/结果引用/分组</x:v>
      </x:c>
      <x:c r="J45" s="24" t="str">
        <x:v>隐藏未开放的生成能力</x:v>
      </x:c>
      <x:c r="K45" s="24" t="str">
        <x:v>可撤销新增</x:v>
      </x:c>
      <x:c r="L45" s="24" t="str">
        <x:v>本地，不计费</x:v>
      </x:c>
      <x:c r="M45" s="26" t="str">
        <x:v>待实施</x:v>
      </x:c>
      <x:c r="N45" s="24" t="str"/>
      <x:c r="O45" s="24" t="str">
        <x:v>Design 1.0</x:v>
      </x:c>
    </x:row>
    <x:row r="46" ht="92" customHeight="1">
      <x:c r="A46" s="24" t="str">
        <x:v>C-11</x:v>
      </x:c>
      <x:c r="B46" s="24" t="str">
        <x:v>粘贴文件</x:v>
      </x:c>
      <x:c r="C46" s="24" t="str">
        <x:v>P03</x:v>
      </x:c>
      <x:c r="D46" s="24" t="str">
        <x:v>本轮主线</x:v>
      </x:c>
      <x:c r="E46" s="24" t="str">
        <x:v>T13</x:v>
      </x:c>
      <x:c r="F46" s="24" t="str">
        <x:v>AC-C-11</x:v>
      </x:c>
      <x:c r="G46" s="24" t="str">
        <x:v>tests/e2e/canvas-viewport.spec.ts</x:v>
      </x:c>
      <x:c r="H46" s="24" t="str">
        <x:v>用户主动粘贴且允许</x:v>
      </x:c>
      <x:c r="I46" s="24" t="str">
        <x:v>解析图片/视频为素材；文本成为文本节点</x:v>
      </x:c>
      <x:c r="J46" s="24" t="str">
        <x:v>不读取整个剪贴板历史</x:v>
      </x:c>
      <x:c r="K46" s="24" t="str">
        <x:v>写blob后写节点，失败回滚</x:v>
      </x:c>
      <x:c r="L46" s="24" t="str">
        <x:v>本地，不计费</x:v>
      </x:c>
      <x:c r="M46" s="26" t="str">
        <x:v>待实施</x:v>
      </x:c>
      <x:c r="N46" s="24" t="str"/>
      <x:c r="O46" s="24" t="str">
        <x:v>Design 1.0</x:v>
      </x:c>
    </x:row>
    <x:row r="47" ht="92" customHeight="1">
      <x:c r="A47" s="24" t="str">
        <x:v>C-12</x:v>
      </x:c>
      <x:c r="B47" s="24" t="str">
        <x:v>粘贴链接</x:v>
      </x:c>
      <x:c r="C47" s="24" t="str">
        <x:v>P03</x:v>
      </x:c>
      <x:c r="D47" s="24" t="str">
        <x:v>本轮主线</x:v>
      </x:c>
      <x:c r="E47" s="24" t="str">
        <x:v>T13</x:v>
      </x:c>
      <x:c r="F47" s="24" t="str">
        <x:v>AC-C-12</x:v>
      </x:c>
      <x:c r="G47" s="24" t="str">
        <x:v>tests/e2e/canvas-viewport.spec.ts</x:v>
      </x:c>
      <x:c r="H47" s="24" t="str">
        <x:v>用户主动粘贴</x:v>
      </x:c>
      <x:c r="I47" s="24" t="str">
        <x:v>生成文本或提示确认导入；不自动远程抓取</x:v>
      </x:c>
      <x:c r="J47" s="24" t="str">
        <x:v>非授权URL不能成为API/脚本</x:v>
      </x:c>
      <x:c r="K47" s="24" t="str">
        <x:v>文本可撤销</x:v>
      </x:c>
      <x:c r="L47" s="24" t="str">
        <x:v>无自动请求</x:v>
      </x:c>
      <x:c r="M47" s="26" t="str">
        <x:v>待实施</x:v>
      </x:c>
      <x:c r="N47" s="24" t="str"/>
      <x:c r="O47" s="24" t="str">
        <x:v>Design 1.0</x:v>
      </x:c>
    </x:row>
    <x:row r="48" ht="92" customHeight="1">
      <x:c r="A48" s="24" t="str">
        <x:v>C-13</x:v>
      </x:c>
      <x:c r="B48" s="24" t="str">
        <x:v>撤销</x:v>
      </x:c>
      <x:c r="C48" s="24" t="str">
        <x:v>P03</x:v>
      </x:c>
      <x:c r="D48" s="24" t="str">
        <x:v>本轮主线</x:v>
      </x:c>
      <x:c r="E48" s="24" t="str">
        <x:v>T13</x:v>
      </x:c>
      <x:c r="F48" s="24" t="str">
        <x:v>AC-C-13</x:v>
      </x:c>
      <x:c r="G48" s="24" t="str">
        <x:v>tests/e2e/canvas-viewport.spec.ts</x:v>
      </x:c>
      <x:c r="H48" s="24" t="str">
        <x:v>本地可撤销操作栈非空</x:v>
      </x:c>
      <x:c r="I48" s="24" t="str">
        <x:v>Ctrl+Z撤销结构与编辑；不能撤销付费执行</x:v>
      </x:c>
      <x:c r="J48" s="24" t="str">
        <x:v>输入框由原生撤销处理</x:v>
      </x:c>
      <x:c r="K48" s="24" t="str">
        <x:v>撤销仍写新revision</x:v>
      </x:c>
      <x:c r="L48" s="24" t="str">
        <x:v>本地，不退款</x:v>
      </x:c>
      <x:c r="M48" s="26" t="str">
        <x:v>待实施</x:v>
      </x:c>
      <x:c r="N48" s="24" t="str"/>
      <x:c r="O48" s="24" t="str">
        <x:v>Design 1.0</x:v>
      </x:c>
    </x:row>
    <x:row r="49" ht="92" customHeight="1">
      <x:c r="A49" s="24" t="str">
        <x:v>C-14</x:v>
      </x:c>
      <x:c r="B49" s="24" t="str">
        <x:v>重做</x:v>
      </x:c>
      <x:c r="C49" s="24" t="str">
        <x:v>P03</x:v>
      </x:c>
      <x:c r="D49" s="24" t="str">
        <x:v>本轮主线</x:v>
      </x:c>
      <x:c r="E49" s="24" t="str">
        <x:v>T13</x:v>
      </x:c>
      <x:c r="F49" s="24" t="str">
        <x:v>AC-C-14</x:v>
      </x:c>
      <x:c r="G49" s="24" t="str">
        <x:v>tests/e2e/canvas-viewport.spec.ts</x:v>
      </x:c>
      <x:c r="H49" s="24" t="str">
        <x:v>有重做记录</x:v>
      </x:c>
      <x:c r="I49" s="24" t="str">
        <x:v>恢复最近被撤销的编辑；不重发任务</x:v>
      </x:c>
      <x:c r="J49" s="24" t="str">
        <x:v>历史失效时禁用</x:v>
      </x:c>
      <x:c r="K49" s="24" t="str">
        <x:v>写新revision</x:v>
      </x:c>
      <x:c r="L49" s="24" t="str">
        <x:v>本地，不计费</x:v>
      </x:c>
      <x:c r="M49" s="26" t="str">
        <x:v>待实施</x:v>
      </x:c>
      <x:c r="N49" s="24" t="str"/>
      <x:c r="O49" s="24" t="str">
        <x:v>Design 1.0</x:v>
      </x:c>
    </x:row>
    <x:row r="50" ht="92" customHeight="1">
      <x:c r="A50" s="24" t="str">
        <x:v>C-15</x:v>
      </x:c>
      <x:c r="B50" s="24" t="str">
        <x:v>运行选中</x:v>
      </x:c>
      <x:c r="C50" s="24" t="str">
        <x:v>P03</x:v>
      </x:c>
      <x:c r="D50" s="24" t="str">
        <x:v>本轮主线</x:v>
      </x:c>
      <x:c r="E50" s="24" t="str">
        <x:v>T26</x:v>
      </x:c>
      <x:c r="F50" s="24" t="str">
        <x:v>AC-C-15</x:v>
      </x:c>
      <x:c r="G50" s="24" t="str">
        <x:v>tests/e2e/generation-preflight.spec.ts</x:v>
      </x:c>
      <x:c r="H50" s="24" t="str">
        <x:v>选中可执行节点且可持久化</x:v>
      </x:c>
      <x:c r="I50" s="24" t="str">
        <x:v>进入执行预检与确认；按钮绝不直接批量收费</x:v>
      </x:c>
      <x:c r="J50" s="24" t="str">
        <x:v>缺参数/参考/身份/循环依赖定位错误</x:v>
      </x:c>
      <x:c r="K50" s="24" t="str">
        <x:v>确认后固定run记录</x:v>
      </x:c>
      <x:c r="L50" s="24" t="str">
        <x:v>经确认 POST 视频接口</x:v>
      </x:c>
      <x:c r="M50" s="26" t="str">
        <x:v>待实施</x:v>
      </x:c>
      <x:c r="N50" s="24" t="str"/>
      <x:c r="O50" s="24" t="str">
        <x:v>Design 1.0</x:v>
      </x:c>
    </x:row>
    <x:row r="51" ht="92" customHeight="1">
      <x:c r="A51" s="24" t="str">
        <x:v>C-16</x:v>
      </x:c>
      <x:c r="B51" s="24" t="str">
        <x:v>运行全部可执行节点</x:v>
      </x:c>
      <x:c r="C51" s="24" t="str">
        <x:v>P03</x:v>
      </x:c>
      <x:c r="D51" s="24" t="str">
        <x:v>本轮主线</x:v>
      </x:c>
      <x:c r="E51" s="24" t="str">
        <x:v>T26</x:v>
      </x:c>
      <x:c r="F51" s="24" t="str">
        <x:v>AC-C-16</x:v>
      </x:c>
      <x:c r="G51" s="24" t="str">
        <x:v>tests/e2e/generation-preflight.spec.ts</x:v>
      </x:c>
      <x:c r="H51" s="24" t="str">
        <x:v>项目内有可执行节点</x:v>
      </x:c>
      <x:c r="I51" s="24" t="str">
        <x:v>只通过运行菜单进入；列出数量和顺序</x:v>
      </x:c>
      <x:c r="J51" s="24" t="str">
        <x:v>默认不自动重跑已完成节点</x:v>
      </x:c>
      <x:c r="K51" s="24" t="str">
        <x:v>审批绑定图revision</x:v>
      </x:c>
      <x:c r="L51" s="24" t="str">
        <x:v>经逐项/批量确认收费</x:v>
      </x:c>
      <x:c r="M51" s="26" t="str">
        <x:v>待实施</x:v>
      </x:c>
      <x:c r="N51" s="24" t="str"/>
      <x:c r="O51" s="24" t="str">
        <x:v>Design 1.0</x:v>
      </x:c>
    </x:row>
    <x:row r="52" ht="92" customHeight="1">
      <x:c r="A52" s="24" t="str">
        <x:v>C-17</x:v>
      </x:c>
      <x:c r="B52" s="24" t="str">
        <x:v>暂停本地队列</x:v>
      </x:c>
      <x:c r="C52" s="24" t="str">
        <x:v>P03</x:v>
      </x:c>
      <x:c r="D52" s="24" t="str">
        <x:v>本轮主线</x:v>
      </x:c>
      <x:c r="E52" s="24" t="str">
        <x:v>T29</x:v>
      </x:c>
      <x:c r="F52" s="24" t="str">
        <x:v>AC-C-17</x:v>
      </x:c>
      <x:c r="G52" s="24" t="str">
        <x:v>tests/unit/run-queue.test.ts</x:v>
      </x:c>
      <x:c r="H52" s="24" t="str">
        <x:v>有未提交执行</x:v>
      </x:c>
      <x:c r="I52" s="24" t="str">
        <x:v>停止发出后续请求；已提交任务继续</x:v>
      </x:c>
      <x:c r="J52" s="24" t="str">
        <x:v>不能显示取消成功</x:v>
      </x:c>
      <x:c r="K52" s="24" t="str">
        <x:v>队列状态持久化</x:v>
      </x:c>
      <x:c r="L52" s="24" t="str">
        <x:v>无取消接口调用</x:v>
      </x:c>
      <x:c r="M52" s="26" t="str">
        <x:v>待实施</x:v>
      </x:c>
      <x:c r="N52" s="24" t="str"/>
      <x:c r="O52" s="24" t="str">
        <x:v>Design 1.0</x:v>
      </x:c>
    </x:row>
    <x:row r="53" ht="92" customHeight="1">
      <x:c r="A53" s="24" t="str">
        <x:v>C-18</x:v>
      </x:c>
      <x:c r="B53" s="24" t="str">
        <x:v>继续本地队列</x:v>
      </x:c>
      <x:c r="C53" s="24" t="str">
        <x:v>P03</x:v>
      </x:c>
      <x:c r="D53" s="24" t="str">
        <x:v>本轮主线</x:v>
      </x:c>
      <x:c r="E53" s="24" t="str">
        <x:v>T29</x:v>
      </x:c>
      <x:c r="F53" s="24" t="str">
        <x:v>AC-C-18</x:v>
      </x:c>
      <x:c r="G53" s="24" t="str">
        <x:v>tests/unit/run-queue.test.ts</x:v>
      </x:c>
      <x:c r="H53" s="24" t="str">
        <x:v>未提交队列存在</x:v>
      </x:c>
      <x:c r="I53" s="24" t="str">
        <x:v>重新核对过期授权、输入和数量</x:v>
      </x:c>
      <x:c r="J53" s="24" t="str">
        <x:v>参数已改变须再次确认</x:v>
      </x:c>
      <x:c r="K53" s="24" t="str">
        <x:v>更新队列审批</x:v>
      </x:c>
      <x:c r="L53" s="24" t="str">
        <x:v>将触发后续已确认生成</x:v>
      </x:c>
      <x:c r="M53" s="26" t="str">
        <x:v>待实施</x:v>
      </x:c>
      <x:c r="N53" s="24" t="str"/>
      <x:c r="O53" s="24" t="str">
        <x:v>Design 1.0</x:v>
      </x:c>
    </x:row>
    <x:row r="54" ht="92" customHeight="1">
      <x:c r="A54" s="24" t="str">
        <x:v>C-19</x:v>
      </x:c>
      <x:c r="B54" s="24" t="str">
        <x:v>导出项目</x:v>
      </x:c>
      <x:c r="C54" s="24" t="str">
        <x:v>P03</x:v>
      </x:c>
      <x:c r="D54" s="24" t="str">
        <x:v>本轮主线</x:v>
      </x:c>
      <x:c r="E54" s="24" t="str">
        <x:v>T36</x:v>
      </x:c>
      <x:c r="F54" s="24" t="str">
        <x:v>AC-C-19</x:v>
      </x:c>
      <x:c r="G54" s="24" t="str">
        <x:v>tests/unit/project-package.test.ts</x:v>
      </x:c>
      <x:c r="H54" s="24" t="str">
        <x:v>项目可读</x:v>
      </x:c>
      <x:c r="I54" s="24" t="str">
        <x:v>打开导出范围：结构/含素材备份</x:v>
      </x:c>
      <x:c r="J54" s="24" t="str">
        <x:v>缺素材明确列出不静默跳过</x:v>
      </x:c>
      <x:c r="K54" s="24" t="str">
        <x:v>导出不改源</x:v>
      </x:c>
      <x:c r="L54" s="24" t="str">
        <x:v>本地，不计费</x:v>
      </x:c>
      <x:c r="M54" s="26" t="str">
        <x:v>待实施</x:v>
      </x:c>
      <x:c r="N54" s="24" t="str"/>
      <x:c r="O54" s="24" t="str">
        <x:v>Design 1.0</x:v>
      </x:c>
    </x:row>
    <x:row r="55" ht="92" customHeight="1">
      <x:c r="A55" s="24" t="str">
        <x:v>C-20</x:v>
      </x:c>
      <x:c r="B55" s="24" t="str">
        <x:v>节点大纲</x:v>
      </x:c>
      <x:c r="C55" s="24" t="str">
        <x:v>P03</x:v>
      </x:c>
      <x:c r="D55" s="24" t="str">
        <x:v>本轮主线</x:v>
      </x:c>
      <x:c r="E55" s="24" t="str">
        <x:v>T15</x:v>
      </x:c>
      <x:c r="F55" s="24" t="str">
        <x:v>AC-C-20</x:v>
      </x:c>
      <x:c r="G55" s="24" t="str">
        <x:v>tests/e2e/canvas-layout.spec.ts</x:v>
      </x:c>
      <x:c r="H55" s="24" t="str">
        <x:v>画布页</x:v>
      </x:c>
      <x:c r="I55" s="24" t="str">
        <x:v>按镜头/类型查看，选择并定位</x:v>
      </x:c>
      <x:c r="J55" s="24" t="str">
        <x:v>过滤无结果提示</x:v>
      </x:c>
      <x:c r="K55" s="24" t="str">
        <x:v>排序视图不改流程顺序</x:v>
      </x:c>
      <x:c r="L55" s="24" t="str">
        <x:v>本地，不计费</x:v>
      </x:c>
      <x:c r="M55" s="26" t="str">
        <x:v>待实施</x:v>
      </x:c>
      <x:c r="N55" s="24" t="str"/>
      <x:c r="O55" s="24" t="str">
        <x:v>Design 1.0</x:v>
      </x:c>
    </x:row>
    <x:row r="56" ht="92" customHeight="1">
      <x:c r="A56" s="24" t="str">
        <x:v>N-01</x:v>
      </x:c>
      <x:c r="B56" s="24" t="str">
        <x:v>节点拖动</x:v>
      </x:c>
      <x:c r="C56" s="24" t="str">
        <x:v>P03</x:v>
      </x:c>
      <x:c r="D56" s="24" t="str">
        <x:v>本轮主线</x:v>
      </x:c>
      <x:c r="E56" s="24" t="str">
        <x:v>T13</x:v>
      </x:c>
      <x:c r="F56" s="24" t="str">
        <x:v>AC-N-01</x:v>
      </x:c>
      <x:c r="G56" s="24" t="str">
        <x:v>tests/e2e/canvas-viewport.spec.ts</x:v>
      </x:c>
      <x:c r="H56" s="24" t="str">
        <x:v>可编辑且未锁定</x:v>
      </x:c>
      <x:c r="I56" s="24" t="str">
        <x:v>坐标更新；松手一次入撤销栈</x:v>
      </x:c>
      <x:c r="J56" s="24" t="str">
        <x:v>锁定或另标签写入拒绝</x:v>
      </x:c>
      <x:c r="K56" s="24" t="str">
        <x:v>持久化位置</x:v>
      </x:c>
      <x:c r="L56" s="24" t="str">
        <x:v>本地，不计费</x:v>
      </x:c>
      <x:c r="M56" s="26" t="str">
        <x:v>待实施</x:v>
      </x:c>
      <x:c r="N56" s="24" t="str"/>
      <x:c r="O56" s="24" t="str">
        <x:v>Design 1.0</x:v>
      </x:c>
    </x:row>
    <x:row r="57" ht="92" customHeight="1">
      <x:c r="A57" s="24" t="str">
        <x:v>N-02</x:v>
      </x:c>
      <x:c r="B57" s="24" t="str">
        <x:v>节点标题编辑</x:v>
      </x:c>
      <x:c r="C57" s="24" t="str">
        <x:v>P03</x:v>
      </x:c>
      <x:c r="D57" s="24" t="str">
        <x:v>本轮主线</x:v>
      </x:c>
      <x:c r="E57" s="24" t="str">
        <x:v>T14</x:v>
      </x:c>
      <x:c r="F57" s="24" t="str">
        <x:v>AC-N-02</x:v>
      </x:c>
      <x:c r="G57" s="24" t="str">
        <x:v>tests/e2e/typed-nodes.spec.ts</x:v>
      </x:c>
      <x:c r="H57" s="24" t="str">
        <x:v>可编辑</x:v>
      </x:c>
      <x:c r="I57" s="24" t="str">
        <x:v>双击或F2，1–60字符</x:v>
      </x:c>
      <x:c r="J57" s="24" t="str">
        <x:v>空标题恢复默认并提示</x:v>
      </x:c>
      <x:c r="K57" s="24" t="str">
        <x:v>可撤销</x:v>
      </x:c>
      <x:c r="L57" s="24" t="str">
        <x:v>本地，不计费</x:v>
      </x:c>
      <x:c r="M57" s="26" t="str">
        <x:v>待实施</x:v>
      </x:c>
      <x:c r="N57" s="24" t="str"/>
      <x:c r="O57" s="24" t="str">
        <x:v>Design 1.0</x:v>
      </x:c>
    </x:row>
    <x:row r="58" ht="92" customHeight="1">
      <x:c r="A58" s="24" t="str">
        <x:v>N-03</x:v>
      </x:c>
      <x:c r="B58" s="24" t="str">
        <x:v>复制节点</x:v>
      </x:c>
      <x:c r="C58" s="24" t="str">
        <x:v>P03</x:v>
      </x:c>
      <x:c r="D58" s="24" t="str">
        <x:v>本轮主线</x:v>
      </x:c>
      <x:c r="E58" s="24" t="str">
        <x:v>T15</x:v>
      </x:c>
      <x:c r="F58" s="24" t="str">
        <x:v>AC-N-03</x:v>
      </x:c>
      <x:c r="G58" s="24" t="str">
        <x:v>tests/e2e/canvas-layout.spec.ts</x:v>
      </x:c>
      <x:c r="H58" s="24" t="str">
        <x:v>选中节点</x:v>
      </x:c>
      <x:c r="I58" s="24" t="str">
        <x:v>复制结构到内部剪贴板；结果引用固定asset版本</x:v>
      </x:c>
      <x:c r="J58" s="24" t="str">
        <x:v>复制不传Key、运行授权或动态token</x:v>
      </x:c>
      <x:c r="K58" s="24" t="str">
        <x:v>本地快照</x:v>
      </x:c>
      <x:c r="L58" s="24" t="str">
        <x:v>本地，不计费</x:v>
      </x:c>
      <x:c r="M58" s="26" t="str">
        <x:v>待实施</x:v>
      </x:c>
      <x:c r="N58" s="24" t="str"/>
      <x:c r="O58" s="24" t="str">
        <x:v>Design 1.0</x:v>
      </x:c>
    </x:row>
    <x:row r="59" ht="92" customHeight="1">
      <x:c r="A59" s="24" t="str">
        <x:v>N-04</x:v>
      </x:c>
      <x:c r="B59" s="24" t="str">
        <x:v>粘贴节点</x:v>
      </x:c>
      <x:c r="C59" s="24" t="str">
        <x:v>P03</x:v>
      </x:c>
      <x:c r="D59" s="24" t="str">
        <x:v>本轮主线</x:v>
      </x:c>
      <x:c r="E59" s="24" t="str">
        <x:v>T15</x:v>
      </x:c>
      <x:c r="F59" s="24" t="str">
        <x:v>AC-N-04</x:v>
      </x:c>
      <x:c r="G59" s="24" t="str">
        <x:v>tests/e2e/canvas-layout.spec.ts</x:v>
      </x:c>
      <x:c r="H59" s="24" t="str">
        <x:v>剪贴板可解析</x:v>
      </x:c>
      <x:c r="I59" s="24" t="str">
        <x:v>创建新ID并偏移24px；保留内部连接</x:v>
      </x:c>
      <x:c r="J59" s="24" t="str">
        <x:v>外部连接变缺少输入提示</x:v>
      </x:c>
      <x:c r="K59" s="24" t="str">
        <x:v>可撤销；不复制任务执行</x:v>
      </x:c>
      <x:c r="L59" s="24" t="str">
        <x:v>本地，不计费</x:v>
      </x:c>
      <x:c r="M59" s="26" t="str">
        <x:v>待实施</x:v>
      </x:c>
      <x:c r="N59" s="24" t="str"/>
      <x:c r="O59" s="24" t="str">
        <x:v>Design 1.0</x:v>
      </x:c>
    </x:row>
    <x:row r="60" ht="92" customHeight="1">
      <x:c r="A60" s="24" t="str">
        <x:v>N-05</x:v>
      </x:c>
      <x:c r="B60" s="24" t="str">
        <x:v>复制为分支</x:v>
      </x:c>
      <x:c r="C60" s="24" t="str">
        <x:v>P03</x:v>
      </x:c>
      <x:c r="D60" s="24" t="str">
        <x:v>本轮主线</x:v>
      </x:c>
      <x:c r="E60" s="24" t="str">
        <x:v>T15</x:v>
      </x:c>
      <x:c r="F60" s="24" t="str">
        <x:v>AC-N-05</x:v>
      </x:c>
      <x:c r="G60" s="24" t="str">
        <x:v>tests/e2e/canvas-layout.spec.ts</x:v>
      </x:c>
      <x:c r="H60" s="24" t="str">
        <x:v>文本/生成/结果可用</x:v>
      </x:c>
      <x:c r="I60" s="24" t="str">
        <x:v>新生成节点继承输入参数与明确父结果</x:v>
      </x:c>
      <x:c r="J60" s="24" t="str">
        <x:v>旧结果不存在则阻止父版本操作</x:v>
      </x:c>
      <x:c r="K60" s="24" t="str">
        <x:v>新增分支，不改旧版</x:v>
      </x:c>
      <x:c r="L60" s="24" t="str">
        <x:v>本地；不自动生成</x:v>
      </x:c>
      <x:c r="M60" s="26" t="str">
        <x:v>待实施</x:v>
      </x:c>
      <x:c r="N60" s="24" t="str"/>
      <x:c r="O60" s="24" t="str">
        <x:v>Design 1.0</x:v>
      </x:c>
    </x:row>
    <x:row r="61" ht="92" customHeight="1">
      <x:c r="A61" s="24" t="str">
        <x:v>N-06</x:v>
      </x:c>
      <x:c r="B61" s="24" t="str">
        <x:v>删除节点</x:v>
      </x:c>
      <x:c r="C61" s="24" t="str">
        <x:v>P03</x:v>
      </x:c>
      <x:c r="D61" s="24" t="str">
        <x:v>本轮主线</x:v>
      </x:c>
      <x:c r="E61" s="24" t="str">
        <x:v>T15</x:v>
      </x:c>
      <x:c r="F61" s="24" t="str">
        <x:v>AC-N-06</x:v>
      </x:c>
      <x:c r="G61" s="24" t="str">
        <x:v>tests/e2e/canvas-layout.spec.ts</x:v>
      </x:c>
      <x:c r="H61" s="24" t="str">
        <x:v>可编辑</x:v>
      </x:c>
      <x:c r="I61" s="24" t="str">
        <x:v>删除摆放和边，不删除任务及共享素材</x:v>
      </x:c>
      <x:c r="J61" s="24" t="str">
        <x:v>活动任务保留在任务中心</x:v>
      </x:c>
      <x:c r="K61" s="24" t="str">
        <x:v>可撤销</x:v>
      </x:c>
      <x:c r="L61" s="24" t="str">
        <x:v>本地，不取消远端任务</x:v>
      </x:c>
      <x:c r="M61" s="26" t="str">
        <x:v>待实施</x:v>
      </x:c>
      <x:c r="N61" s="24" t="str"/>
      <x:c r="O61" s="24" t="str">
        <x:v>Design 1.0</x:v>
      </x:c>
    </x:row>
    <x:row r="62" ht="92" customHeight="1">
      <x:c r="A62" s="24" t="str">
        <x:v>N-07</x:v>
      </x:c>
      <x:c r="B62" s="24" t="str">
        <x:v>锁定/解锁节点</x:v>
      </x:c>
      <x:c r="C62" s="24" t="str">
        <x:v>P03</x:v>
      </x:c>
      <x:c r="D62" s="24" t="str">
        <x:v>本轮主线</x:v>
      </x:c>
      <x:c r="E62" s="24" t="str">
        <x:v>T15</x:v>
      </x:c>
      <x:c r="F62" s="24" t="str">
        <x:v>AC-N-07</x:v>
      </x:c>
      <x:c r="G62" s="24" t="str">
        <x:v>tests/e2e/canvas-layout.spec.ts</x:v>
      </x:c>
      <x:c r="H62" s="24" t="str">
        <x:v>可编辑</x:v>
      </x:c>
      <x:c r="I62" s="24" t="str">
        <x:v>锁布局；仍可查看，参数编辑需解锁</x:v>
      </x:c>
      <x:c r="J62" s="24" t="str">
        <x:v>锁不作为权限安全边界</x:v>
      </x:c>
      <x:c r="K62" s="24" t="str">
        <x:v>可逆</x:v>
      </x:c>
      <x:c r="L62" s="24" t="str">
        <x:v>本地，不计费</x:v>
      </x:c>
      <x:c r="M62" s="26" t="str">
        <x:v>待实施</x:v>
      </x:c>
      <x:c r="N62" s="24" t="str"/>
      <x:c r="O62" s="24" t="str">
        <x:v>Design 1.0</x:v>
      </x:c>
    </x:row>
    <x:row r="63" ht="92" customHeight="1">
      <x:c r="A63" s="24" t="str">
        <x:v>N-08</x:v>
      </x:c>
      <x:c r="B63" s="24" t="str">
        <x:v>组合</x:v>
      </x:c>
      <x:c r="C63" s="24" t="str">
        <x:v>P03</x:v>
      </x:c>
      <x:c r="D63" s="24" t="str">
        <x:v>本轮主线</x:v>
      </x:c>
      <x:c r="E63" s="24" t="str">
        <x:v>T15</x:v>
      </x:c>
      <x:c r="F63" s="24" t="str">
        <x:v>AC-N-08</x:v>
      </x:c>
      <x:c r="G63" s="24" t="str">
        <x:v>tests/e2e/canvas-layout.spec.ts</x:v>
      </x:c>
      <x:c r="H63" s="24" t="str">
        <x:v>多选至少2节点</x:v>
      </x:c>
      <x:c r="I63" s="24" t="str">
        <x:v>建立布局分组，不自动把全组内容当参考</x:v>
      </x:c>
      <x:c r="J63" s="24" t="str">
        <x:v>不可嵌套到自身</x:v>
      </x:c>
      <x:c r="K63" s="24" t="str">
        <x:v>可撤销</x:v>
      </x:c>
      <x:c r="L63" s="24" t="str">
        <x:v>本地，不计费</x:v>
      </x:c>
      <x:c r="M63" s="26" t="str">
        <x:v>待实施</x:v>
      </x:c>
      <x:c r="N63" s="24" t="str"/>
      <x:c r="O63" s="24" t="str">
        <x:v>Design 1.0</x:v>
      </x:c>
    </x:row>
    <x:row r="64" ht="92" customHeight="1">
      <x:c r="A64" s="24" t="str">
        <x:v>N-09</x:v>
      </x:c>
      <x:c r="B64" s="24" t="str">
        <x:v>取消组合</x:v>
      </x:c>
      <x:c r="C64" s="24" t="str">
        <x:v>P03</x:v>
      </x:c>
      <x:c r="D64" s="24" t="str">
        <x:v>本轮主线</x:v>
      </x:c>
      <x:c r="E64" s="24" t="str">
        <x:v>T15</x:v>
      </x:c>
      <x:c r="F64" s="24" t="str">
        <x:v>AC-N-09</x:v>
      </x:c>
      <x:c r="G64" s="24" t="str">
        <x:v>tests/e2e/canvas-layout.spec.ts</x:v>
      </x:c>
      <x:c r="H64" s="24" t="str">
        <x:v>选中分组</x:v>
      </x:c>
      <x:c r="I64" s="24" t="str">
        <x:v>解除布局父子关系，位置不跳变</x:v>
      </x:c>
      <x:c r="J64" s="24" t="str">
        <x:v>组有导出引用时显式保留原输入映射</x:v>
      </x:c>
      <x:c r="K64" s="24" t="str">
        <x:v>可撤销</x:v>
      </x:c>
      <x:c r="L64" s="24" t="str">
        <x:v>本地，不计费</x:v>
      </x:c>
      <x:c r="M64" s="26" t="str">
        <x:v>待实施</x:v>
      </x:c>
      <x:c r="N64" s="24" t="str"/>
      <x:c r="O64" s="24" t="str">
        <x:v>Design 1.0</x:v>
      </x:c>
    </x:row>
    <x:row r="65" ht="92" customHeight="1">
      <x:c r="A65" s="24" t="str">
        <x:v>N-10</x:v>
      </x:c>
      <x:c r="B65" s="24" t="str">
        <x:v>分组收起/展开</x:v>
      </x:c>
      <x:c r="C65" s="24" t="str">
        <x:v>P03</x:v>
      </x:c>
      <x:c r="D65" s="24" t="str">
        <x:v>本轮主线</x:v>
      </x:c>
      <x:c r="E65" s="24" t="str">
        <x:v>T15</x:v>
      </x:c>
      <x:c r="F65" s="24" t="str">
        <x:v>AC-N-10</x:v>
      </x:c>
      <x:c r="G65" s="24" t="str">
        <x:v>tests/e2e/canvas-layout.spec.ts</x:v>
      </x:c>
      <x:c r="H65" s="24" t="str">
        <x:v>分组存在</x:v>
      </x:c>
      <x:c r="I65" s="24" t="str">
        <x:v>隐藏/显示子节点，边折叠投影</x:v>
      </x:c>
      <x:c r="J65" s="24" t="str">
        <x:v>不改变执行输入</x:v>
      </x:c>
      <x:c r="K65" s="24" t="str">
        <x:v>UI状态可逆</x:v>
      </x:c>
      <x:c r="L65" s="24" t="str">
        <x:v>本地，不计费</x:v>
      </x:c>
      <x:c r="M65" s="26" t="str">
        <x:v>待实施</x:v>
      </x:c>
      <x:c r="N65" s="24" t="str"/>
      <x:c r="O65" s="24" t="str">
        <x:v>Design 1.0</x:v>
      </x:c>
    </x:row>
    <x:row r="66" ht="92" customHeight="1">
      <x:c r="A66" s="24" t="str">
        <x:v>N-11</x:v>
      </x:c>
      <x:c r="B66" s="24" t="str">
        <x:v>对齐/等间距</x:v>
      </x:c>
      <x:c r="C66" s="24" t="str">
        <x:v>P03</x:v>
      </x:c>
      <x:c r="D66" s="24" t="str">
        <x:v>本轮主线</x:v>
      </x:c>
      <x:c r="E66" s="24" t="str">
        <x:v>T15</x:v>
      </x:c>
      <x:c r="F66" s="24" t="str">
        <x:v>AC-N-11</x:v>
      </x:c>
      <x:c r="G66" s="24" t="str">
        <x:v>tests/e2e/canvas-layout.spec.ts</x:v>
      </x:c>
      <x:c r="H66" s="24" t="str">
        <x:v>2个/3个以上非锁定节点</x:v>
      </x:c>
      <x:c r="I66" s="24" t="str">
        <x:v>只调整坐标</x:v>
      </x:c>
      <x:c r="J66" s="24" t="str">
        <x:v>不足数量禁用</x:v>
      </x:c>
      <x:c r="K66" s="24" t="str">
        <x:v>可撤销</x:v>
      </x:c>
      <x:c r="L66" s="24" t="str">
        <x:v>本地，不计费</x:v>
      </x:c>
      <x:c r="M66" s="26" t="str">
        <x:v>待实施</x:v>
      </x:c>
      <x:c r="N66" s="24" t="str"/>
      <x:c r="O66" s="24" t="str">
        <x:v>Design 1.0</x:v>
      </x:c>
    </x:row>
    <x:row r="67" ht="92" customHeight="1">
      <x:c r="A67" s="24" t="str">
        <x:v>N-12</x:v>
      </x:c>
      <x:c r="B67" s="24" t="str">
        <x:v>整理布局</x:v>
      </x:c>
      <x:c r="C67" s="24" t="str">
        <x:v>P03</x:v>
      </x:c>
      <x:c r="D67" s="24" t="str">
        <x:v>本轮主线</x:v>
      </x:c>
      <x:c r="E67" s="24" t="str">
        <x:v>T15</x:v>
      </x:c>
      <x:c r="F67" s="24" t="str">
        <x:v>AC-N-12</x:v>
      </x:c>
      <x:c r="G67" s="24" t="str">
        <x:v>tests/e2e/canvas-layout.spec.ts</x:v>
      </x:c>
      <x:c r="H67" s="24" t="str">
        <x:v>有节点</x:v>
      </x:c>
      <x:c r="I67" s="24" t="str">
        <x:v>预览建议布局，应用后一次写入</x:v>
      </x:c>
      <x:c r="J67" s="24" t="str">
        <x:v>超大图分镜头操作</x:v>
      </x:c>
      <x:c r="K67" s="24" t="str">
        <x:v>可撤销；不改拓扑</x:v>
      </x:c>
      <x:c r="L67" s="24" t="str">
        <x:v>本地，不计费</x:v>
      </x:c>
      <x:c r="M67" s="26" t="str">
        <x:v>待实施</x:v>
      </x:c>
      <x:c r="N67" s="24" t="str"/>
      <x:c r="O67" s="24" t="str">
        <x:v>Design 1.0</x:v>
      </x:c>
    </x:row>
    <x:row r="68" ht="92" customHeight="1">
      <x:c r="A68" s="24" t="str">
        <x:v>N-13</x:v>
      </x:c>
      <x:c r="B68" s="24" t="str">
        <x:v>拉线连接</x:v>
      </x:c>
      <x:c r="C68" s="24" t="str">
        <x:v>P03</x:v>
      </x:c>
      <x:c r="D68" s="24" t="str">
        <x:v>本轮主线</x:v>
      </x:c>
      <x:c r="E68" s="24" t="str">
        <x:v>T14</x:v>
      </x:c>
      <x:c r="F68" s="24" t="str">
        <x:v>AC-N-13</x:v>
      </x:c>
      <x:c r="G68" s="24" t="str">
        <x:v>tests/e2e/typed-nodes.spec.ts</x:v>
      </x:c>
      <x:c r="H68" s="24" t="str">
        <x:v>输出类型与输入类型匹配</x:v>
      </x:c>
      <x:c r="I68" s="24" t="str">
        <x:v>显示可连接端口；落点生成数据依赖边</x:v>
      </x:c>
      <x:c r="J68" s="24" t="str">
        <x:v>拒绝自连/循环/超额/不兼容</x:v>
      </x:c>
      <x:c r="K68" s="24" t="str">
        <x:v>可撤销；下游标记输入已变</x:v>
      </x:c>
      <x:c r="L68" s="24" t="str">
        <x:v>本地，不计费</x:v>
      </x:c>
      <x:c r="M68" s="26" t="str">
        <x:v>待实施</x:v>
      </x:c>
      <x:c r="N68" s="24" t="str"/>
      <x:c r="O68" s="24" t="str">
        <x:v>Design 1.0</x:v>
      </x:c>
    </x:row>
    <x:row r="69" ht="92" customHeight="1">
      <x:c r="A69" s="24" t="str">
        <x:v>N-14</x:v>
      </x:c>
      <x:c r="B69" s="24" t="str">
        <x:v>选择输入菜单</x:v>
      </x:c>
      <x:c r="C69" s="24" t="str">
        <x:v>P03</x:v>
      </x:c>
      <x:c r="D69" s="24" t="str">
        <x:v>本轮主线</x:v>
      </x:c>
      <x:c r="E69" s="24" t="str">
        <x:v>T14</x:v>
      </x:c>
      <x:c r="F69" s="24" t="str">
        <x:v>AC-N-14</x:v>
      </x:c>
      <x:c r="G69" s="24" t="str">
        <x:v>tests/e2e/typed-nodes.spec.ts</x:v>
      </x:c>
      <x:c r="H69" s="24" t="str">
        <x:v>生成节点可编辑</x:v>
      </x:c>
      <x:c r="I69" s="24" t="str">
        <x:v>不用拖动也能搜索并选择上游节点</x:v>
      </x:c>
      <x:c r="J69" s="24" t="str">
        <x:v>无可用节点显示新建入口</x:v>
      </x:c>
      <x:c r="K69" s="24" t="str">
        <x:v>同拉线契约</x:v>
      </x:c>
      <x:c r="L69" s="24" t="str">
        <x:v>本地，不计费</x:v>
      </x:c>
      <x:c r="M69" s="26" t="str">
        <x:v>待实施</x:v>
      </x:c>
      <x:c r="N69" s="24" t="str"/>
      <x:c r="O69" s="24" t="str">
        <x:v>Design 1.0</x:v>
      </x:c>
    </x:row>
    <x:row r="70" ht="92" customHeight="1">
      <x:c r="A70" s="24" t="str">
        <x:v>N-15</x:v>
      </x:c>
      <x:c r="B70" s="24" t="str">
        <x:v>断开连接</x:v>
      </x:c>
      <x:c r="C70" s="24" t="str">
        <x:v>P03</x:v>
      </x:c>
      <x:c r="D70" s="24" t="str">
        <x:v>本轮主线</x:v>
      </x:c>
      <x:c r="E70" s="24" t="str">
        <x:v>T14</x:v>
      </x:c>
      <x:c r="F70" s="24" t="str">
        <x:v>AC-N-15</x:v>
      </x:c>
      <x:c r="G70" s="24" t="str">
        <x:v>tests/e2e/typed-nodes.spec.ts</x:v>
      </x:c>
      <x:c r="H70" s="24" t="str">
        <x:v>选中边</x:v>
      </x:c>
      <x:c r="I70" s="24" t="str">
        <x:v>移除依赖，显示缺少输入</x:v>
      </x:c>
      <x:c r="J70" s="24" t="str">
        <x:v>运行中使用快照不改变</x:v>
      </x:c>
      <x:c r="K70" s="24" t="str">
        <x:v>可撤销</x:v>
      </x:c>
      <x:c r="L70" s="24" t="str">
        <x:v>本地，不计费</x:v>
      </x:c>
      <x:c r="M70" s="26" t="str">
        <x:v>待实施</x:v>
      </x:c>
      <x:c r="N70" s="24" t="str"/>
      <x:c r="O70" s="24" t="str">
        <x:v>Design 1.0</x:v>
      </x:c>
    </x:row>
    <x:row r="71" ht="92" customHeight="1">
      <x:c r="A71" s="24" t="str">
        <x:v>N-16</x:v>
      </x:c>
      <x:c r="B71" s="24" t="str">
        <x:v>修改输入顺序</x:v>
      </x:c>
      <x:c r="C71" s="24" t="str">
        <x:v>P03</x:v>
      </x:c>
      <x:c r="D71" s="24" t="str">
        <x:v>本轮主线</x:v>
      </x:c>
      <x:c r="E71" s="24" t="str">
        <x:v>T14</x:v>
      </x:c>
      <x:c r="F71" s="24" t="str">
        <x:v>AC-N-16</x:v>
      </x:c>
      <x:c r="G71" s="24" t="str">
        <x:v>tests/e2e/typed-nodes.spec.ts</x:v>
      </x:c>
      <x:c r="H71" s="24" t="str">
        <x:v>两个以上参考</x:v>
      </x:c>
      <x:c r="I71" s="24" t="str">
        <x:v>显式序号/上下移，与连线位置无关</x:v>
      </x:c>
      <x:c r="J71" s="24" t="str">
        <x:v>超上限不可提交，不静默截断</x:v>
      </x:c>
      <x:c r="K71" s="24" t="str">
        <x:v>记录输入顺序</x:v>
      </x:c>
      <x:c r="L71" s="24" t="str">
        <x:v>本地，不计费</x:v>
      </x:c>
      <x:c r="M71" s="26" t="str">
        <x:v>待实施</x:v>
      </x:c>
      <x:c r="N71" s="24" t="str"/>
      <x:c r="O71" s="24" t="str">
        <x:v>Design 1.0</x:v>
      </x:c>
    </x:row>
    <x:row r="72" ht="92" customHeight="1">
      <x:c r="A72" s="24" t="str">
        <x:v>N-17</x:v>
      </x:c>
      <x:c r="B72" s="24" t="str">
        <x:v>节点右键菜单</x:v>
      </x:c>
      <x:c r="C72" s="24" t="str">
        <x:v>P03</x:v>
      </x:c>
      <x:c r="D72" s="24" t="str">
        <x:v>本轮主线</x:v>
      </x:c>
      <x:c r="E72" s="24" t="str">
        <x:v>T15</x:v>
      </x:c>
      <x:c r="F72" s="24" t="str">
        <x:v>AC-N-17</x:v>
      </x:c>
      <x:c r="G72" s="24" t="str">
        <x:v>tests/e2e/canvas-layout.spec.ts</x:v>
      </x:c>
      <x:c r="H72" s="24" t="str">
        <x:v>单选/多选/空白</x:v>
      </x:c>
      <x:c r="I72" s="24" t="str">
        <x:v>按对象显示合法操作，非法项附原因</x:v>
      </x:c>
      <x:c r="J72" s="24" t="str">
        <x:v>不提供空点击无响应项</x:v>
      </x:c>
      <x:c r="K72" s="24" t="str">
        <x:v>菜单无状态写入</x:v>
      </x:c>
      <x:c r="L72" s="24" t="str">
        <x:v>收费项仍进入确认</x:v>
      </x:c>
      <x:c r="M72" s="26" t="str">
        <x:v>待实施</x:v>
      </x:c>
      <x:c r="N72" s="24" t="str"/>
      <x:c r="O72" s="24" t="str">
        <x:v>Design 1.0</x:v>
      </x:c>
    </x:row>
    <x:row r="73" ht="92" customHeight="1">
      <x:c r="A73" s="24" t="str">
        <x:v>N-18</x:v>
      </x:c>
      <x:c r="B73" s="24" t="str">
        <x:v>镜头分组命名</x:v>
      </x:c>
      <x:c r="C73" s="24" t="str">
        <x:v>P03</x:v>
      </x:c>
      <x:c r="D73" s="24" t="str">
        <x:v>本轮主线</x:v>
      </x:c>
      <x:c r="E73" s="24" t="str">
        <x:v>T15</x:v>
      </x:c>
      <x:c r="F73" s="24" t="str">
        <x:v>AC-N-18</x:v>
      </x:c>
      <x:c r="G73" s="24" t="str">
        <x:v>tests/e2e/canvas-layout.spec.ts</x:v>
      </x:c>
      <x:c r="H73" s="24" t="str">
        <x:v>分组存在</x:v>
      </x:c>
      <x:c r="I73" s="24" t="str">
        <x:v>输入镜头名和顺序</x:v>
      </x:c>
      <x:c r="J73" s="24" t="str">
        <x:v>名称不决定视频拼接</x:v>
      </x:c>
      <x:c r="K73" s="24" t="str">
        <x:v>可撤销</x:v>
      </x:c>
      <x:c r="L73" s="24" t="str">
        <x:v>本地，不计费</x:v>
      </x:c>
      <x:c r="M73" s="26" t="str">
        <x:v>待实施</x:v>
      </x:c>
      <x:c r="N73" s="24" t="str"/>
      <x:c r="O73" s="24" t="str">
        <x:v>Design 1.0</x:v>
      </x:c>
    </x:row>
    <x:row r="74" ht="92" customHeight="1">
      <x:c r="A74" s="24" t="str">
        <x:v>N-19</x:v>
      </x:c>
      <x:c r="B74" s="24" t="str">
        <x:v>标记选用结果</x:v>
      </x:c>
      <x:c r="C74" s="24" t="str">
        <x:v>P03</x:v>
      </x:c>
      <x:c r="D74" s="24" t="str">
        <x:v>本轮主线</x:v>
      </x:c>
      <x:c r="E74" s="24" t="str">
        <x:v>T15</x:v>
      </x:c>
      <x:c r="F74" s="24" t="str">
        <x:v>AC-N-19</x:v>
      </x:c>
      <x:c r="G74" s="24" t="str">
        <x:v>tests/e2e/canvas-layout.spec.ts</x:v>
      </x:c>
      <x:c r="H74" s="24" t="str">
        <x:v>已完成可读结果</x:v>
      </x:c>
      <x:c r="I74" s="24" t="str">
        <x:v>固定下游引用此asset版本</x:v>
      </x:c>
      <x:c r="J74" s="24" t="str">
        <x:v>下游已有运行不受影响，草稿待确认</x:v>
      </x:c>
      <x:c r="K74" s="24" t="str">
        <x:v>写selectionRevision</x:v>
      </x:c>
      <x:c r="L74" s="24" t="str">
        <x:v>本地，不计费</x:v>
      </x:c>
      <x:c r="M74" s="26" t="str">
        <x:v>待实施</x:v>
      </x:c>
      <x:c r="N74" s="24" t="str"/>
      <x:c r="O74" s="24" t="str">
        <x:v>Design 1.0</x:v>
      </x:c>
    </x:row>
    <x:row r="75" ht="92" customHeight="1">
      <x:c r="A75" s="24" t="str">
        <x:v>T-01</x:v>
      </x:c>
      <x:c r="B75" s="24" t="str">
        <x:v>编辑文本</x:v>
      </x:c>
      <x:c r="C75" s="24" t="str">
        <x:v>P03</x:v>
      </x:c>
      <x:c r="D75" s="24" t="str">
        <x:v>本轮主线</x:v>
      </x:c>
      <x:c r="E75" s="24" t="str">
        <x:v>T14</x:v>
      </x:c>
      <x:c r="F75" s="24" t="str">
        <x:v>AC-T-01</x:v>
      </x:c>
      <x:c r="G75" s="24" t="str">
        <x:v>tests/e2e/typed-nodes.spec.ts</x:v>
      </x:c>
      <x:c r="H75" s="24" t="str">
        <x:v>文本节点可写</x:v>
      </x:c>
      <x:c r="I75" s="24" t="str">
        <x:v>直接编辑，300ms后草稿保存</x:v>
      </x:c>
      <x:c r="J75" s="24" t="str">
        <x:v>组合输入不打断；长度计数</x:v>
      </x:c>
      <x:c r="K75" s="24" t="str">
        <x:v>可撤销，保存成功才显示已保存</x:v>
      </x:c>
      <x:c r="L75" s="24" t="str">
        <x:v>本地，不计费</x:v>
      </x:c>
      <x:c r="M75" s="26" t="str">
        <x:v>待实施</x:v>
      </x:c>
      <x:c r="N75" s="24" t="str"/>
      <x:c r="O75" s="24" t="str">
        <x:v>Design 1.0</x:v>
      </x:c>
    </x:row>
    <x:row r="76" ht="92" customHeight="1">
      <x:c r="A76" s="24" t="str">
        <x:v>T-02</x:v>
      </x:c>
      <x:c r="B76" s="24" t="str">
        <x:v>字号切换</x:v>
      </x:c>
      <x:c r="C76" s="24" t="str">
        <x:v>P03</x:v>
      </x:c>
      <x:c r="D76" s="24" t="str">
        <x:v>本轮主线</x:v>
      </x:c>
      <x:c r="E76" s="24" t="str">
        <x:v>T14</x:v>
      </x:c>
      <x:c r="F76" s="24" t="str">
        <x:v>AC-T-02</x:v>
      </x:c>
      <x:c r="G76" s="24" t="str">
        <x:v>tests/e2e/typed-nodes.spec.ts</x:v>
      </x:c>
      <x:c r="H76" s="24" t="str">
        <x:v>文本节点</x:v>
      </x:c>
      <x:c r="I76" s="24" t="str">
        <x:v>12/14/16/20px，仅显示效果</x:v>
      </x:c>
      <x:c r="J76" s="24" t="str">
        <x:v>文本内容不改变</x:v>
      </x:c>
      <x:c r="K76" s="24" t="str">
        <x:v>项目UI元数据</x:v>
      </x:c>
      <x:c r="L76" s="24" t="str">
        <x:v>本地，不计费</x:v>
      </x:c>
      <x:c r="M76" s="26" t="str">
        <x:v>待实施</x:v>
      </x:c>
      <x:c r="N76" s="24" t="str"/>
      <x:c r="O76" s="24" t="str">
        <x:v>Design 1.0</x:v>
      </x:c>
    </x:row>
    <x:row r="77" ht="92" customHeight="1">
      <x:c r="A77" s="24" t="str">
        <x:v>T-03</x:v>
      </x:c>
      <x:c r="B77" s="24" t="str">
        <x:v>插入参考@</x:v>
      </x:c>
      <x:c r="C77" s="24" t="str">
        <x:v>P03</x:v>
      </x:c>
      <x:c r="D77" s="24" t="str">
        <x:v>本轮主线</x:v>
      </x:c>
      <x:c r="E77" s="24" t="str">
        <x:v>T14</x:v>
      </x:c>
      <x:c r="F77" s="24" t="str">
        <x:v>AC-T-03</x:v>
      </x:c>
      <x:c r="G77" s="24" t="str">
        <x:v>tests/e2e/typed-nodes.spec.ts</x:v>
      </x:c>
      <x:c r="H77" s="24" t="str">
        <x:v>仅允许已选择/连接内容</x:v>
      </x:c>
      <x:c r="I77" s="24" t="str">
        <x:v>弹选区列表，插入稳定引用token</x:v>
      </x:c>
      <x:c r="J77" s="24" t="str">
        <x:v>无效引用高亮并禁止付费运行</x:v>
      </x:c>
      <x:c r="K77" s="24" t="str">
        <x:v>保存引用ID，不存临时URL</x:v>
      </x:c>
      <x:c r="L77" s="24" t="str">
        <x:v>本地，不计费</x:v>
      </x:c>
      <x:c r="M77" s="26" t="str">
        <x:v>待实施</x:v>
      </x:c>
      <x:c r="N77" s="24" t="str"/>
      <x:c r="O77" s="24" t="str">
        <x:v>Design 1.0</x:v>
      </x:c>
    </x:row>
    <x:row r="78" ht="92" customHeight="1">
      <x:c r="A78" s="24" t="str">
        <x:v>T-04</x:v>
      </x:c>
      <x:c r="B78" s="24" t="str">
        <x:v>复制文本</x:v>
      </x:c>
      <x:c r="C78" s="24" t="str">
        <x:v>P03</x:v>
      </x:c>
      <x:c r="D78" s="24" t="str">
        <x:v>本轮主线</x:v>
      </x:c>
      <x:c r="E78" s="24" t="str">
        <x:v>T14</x:v>
      </x:c>
      <x:c r="F78" s="24" t="str">
        <x:v>AC-T-04</x:v>
      </x:c>
      <x:c r="G78" s="24" t="str">
        <x:v>tests/e2e/typed-nodes.spec.ts</x:v>
      </x:c>
      <x:c r="H78" s="24" t="str">
        <x:v>文本非空</x:v>
      </x:c>
      <x:c r="I78" s="24" t="str">
        <x:v>写剪贴板并提示已复制</x:v>
      </x:c>
      <x:c r="J78" s="24" t="str">
        <x:v>权限拒绝显示手动选中文本</x:v>
      </x:c>
      <x:c r="K78" s="24" t="str">
        <x:v>无数据写入</x:v>
      </x:c>
      <x:c r="L78" s="24" t="str">
        <x:v>本地，不计费</x:v>
      </x:c>
      <x:c r="M78" s="26" t="str">
        <x:v>待实施</x:v>
      </x:c>
      <x:c r="N78" s="24" t="str"/>
      <x:c r="O78" s="24" t="str">
        <x:v>Design 1.0</x:v>
      </x:c>
    </x:row>
    <x:row r="79" ht="92" customHeight="1">
      <x:c r="A79" s="24" t="str">
        <x:v>T-05</x:v>
      </x:c>
      <x:c r="B79" s="24" t="str">
        <x:v>保存为提示词</x:v>
      </x:c>
      <x:c r="C79" s="24" t="str">
        <x:v>P03</x:v>
      </x:c>
      <x:c r="D79" s="24" t="str">
        <x:v>本轮主线</x:v>
      </x:c>
      <x:c r="E79" s="24" t="str">
        <x:v>T17</x:v>
      </x:c>
      <x:c r="F79" s="24" t="str">
        <x:v>AC-T-05</x:v>
      </x:c>
      <x:c r="G79" s="24" t="str">
        <x:v>tests/e2e/prompt-library.spec.ts</x:v>
      </x:c>
      <x:c r="H79" s="24" t="str">
        <x:v>文本非空</x:v>
      </x:c>
      <x:c r="I79" s="24" t="str">
        <x:v>D09填写标题标签后入库</x:v>
      </x:c>
      <x:c r="J79" s="24" t="str">
        <x:v>重复标题可另存，不自动覆盖</x:v>
      </x:c>
      <x:c r="K79" s="24" t="str">
        <x:v>可删除恢复</x:v>
      </x:c>
      <x:c r="L79" s="24" t="str">
        <x:v>本地，不计费</x:v>
      </x:c>
      <x:c r="M79" s="26" t="str">
        <x:v>待实施</x:v>
      </x:c>
      <x:c r="N79" s="24" t="str"/>
      <x:c r="O79" s="24" t="str">
        <x:v>Design 1.0</x:v>
      </x:c>
    </x:row>
    <x:row r="80" ht="92" customHeight="1">
      <x:c r="A80" s="24" t="str">
        <x:v>T-06</x:v>
      </x:c>
      <x:c r="B80" s="24" t="str">
        <x:v>AI润色</x:v>
      </x:c>
      <x:c r="C80" s="24" t="str">
        <x:v>P03</x:v>
      </x:c>
      <x:c r="D80" s="24" t="str">
        <x:v>本轮主线</x:v>
      </x:c>
      <x:c r="E80" s="24" t="str">
        <x:v>T30</x:v>
      </x:c>
      <x:c r="F80" s="24" t="str">
        <x:v>AC-T-06</x:v>
      </x:c>
      <x:c r="G80" s="24" t="str">
        <x:v>tests/unit/text-optimization.test.ts</x:v>
      </x:c>
      <x:c r="H80" s="24" t="str">
        <x:v>Core文字能力已核验</x:v>
      </x:c>
      <x:c r="I80" s="24" t="str">
        <x:v>预览送出文本/引用与计费提示；确认后生成建议节点</x:v>
      </x:c>
      <x:c r="J80" s="24" t="str">
        <x:v>失败保留原文；未知请求不自动重试</x:v>
      </x:c>
      <x:c r="K80" s="24" t="str">
        <x:v>新文本结果，保留源</x:v>
      </x:c>
      <x:c r="L80" s="24" t="str">
        <x:v>POST /v1/chat/completions；文字计费</x:v>
      </x:c>
      <x:c r="M80" s="26" t="str">
        <x:v>待实施</x:v>
      </x:c>
      <x:c r="N80" s="24" t="str"/>
      <x:c r="O80" s="24" t="str">
        <x:v>Design 1.0</x:v>
      </x:c>
    </x:row>
    <x:row r="81" ht="92" customHeight="1">
      <x:c r="A81" s="24" t="str">
        <x:v>T-07</x:v>
      </x:c>
      <x:c r="B81" s="24" t="str">
        <x:v>使用润色建议</x:v>
      </x:c>
      <x:c r="C81" s="24" t="str">
        <x:v>P03</x:v>
      </x:c>
      <x:c r="D81" s="24" t="str">
        <x:v>本轮主线</x:v>
      </x:c>
      <x:c r="E81" s="24" t="str">
        <x:v>T31</x:v>
      </x:c>
      <x:c r="F81" s="24" t="str">
        <x:v>AC-T-07</x:v>
      </x:c>
      <x:c r="G81" s="24" t="str">
        <x:v>tests/e2e/prompt-result-parser.spec.ts</x:v>
      </x:c>
      <x:c r="H81" s="24" t="str">
        <x:v>已有建议</x:v>
      </x:c>
      <x:c r="I81" s="24" t="str">
        <x:v>展示diff后替换或另存，默认另存</x:v>
      </x:c>
      <x:c r="J81" s="24" t="str">
        <x:v>原文revision变化必须重审</x:v>
      </x:c>
      <x:c r="K81" s="24" t="str">
        <x:v>可撤销纯编辑</x:v>
      </x:c>
      <x:c r="L81" s="24" t="str">
        <x:v>本地，不计费</x:v>
      </x:c>
      <x:c r="M81" s="26" t="str">
        <x:v>待实施</x:v>
      </x:c>
      <x:c r="N81" s="24" t="str"/>
      <x:c r="O81" s="24" t="str">
        <x:v>Design 1.0</x:v>
      </x:c>
    </x:row>
    <x:row r="82" ht="92" customHeight="1">
      <x:c r="A82" s="24" t="str">
        <x:v>T-08</x:v>
      </x:c>
      <x:c r="B82" s="24" t="str">
        <x:v>从文本创建视频流程</x:v>
      </x:c>
      <x:c r="C82" s="24" t="str">
        <x:v>P03</x:v>
      </x:c>
      <x:c r="D82" s="24" t="str">
        <x:v>本轮主线</x:v>
      </x:c>
      <x:c r="E82" s="24" t="str">
        <x:v>T22</x:v>
      </x:c>
      <x:c r="F82" s="24" t="str">
        <x:v>AC-T-08</x:v>
      </x:c>
      <x:c r="G82" s="24" t="str">
        <x:v>tests/e2e/prompt-canvas-commands.spec.ts</x:v>
      </x:c>
      <x:c r="H82" s="24" t="str">
        <x:v>文本可读</x:v>
      </x:c>
      <x:c r="I82" s="24" t="str">
        <x:v>生成连接好的视频配置节点</x:v>
      </x:c>
      <x:c r="J82" s="24" t="str">
        <x:v>无视频能力仍可建草稿，运行禁用</x:v>
      </x:c>
      <x:c r="K82" s="24" t="str">
        <x:v>新增结构可撤销</x:v>
      </x:c>
      <x:c r="L82" s="24" t="str">
        <x:v>本地，不计费</x:v>
      </x:c>
      <x:c r="M82" s="26" t="str">
        <x:v>待实施</x:v>
      </x:c>
      <x:c r="N82" s="24" t="str"/>
      <x:c r="O82" s="24" t="str">
        <x:v>Design 1.0</x:v>
      </x:c>
    </x:row>
    <x:row r="83" ht="92" customHeight="1">
      <x:c r="A83" s="24" t="str">
        <x:v>M-01</x:v>
      </x:c>
      <x:c r="B83" s="24" t="str">
        <x:v>导入文件</x:v>
      </x:c>
      <x:c r="C83" s="24" t="str">
        <x:v>P04</x:v>
      </x:c>
      <x:c r="D83" s="24" t="str">
        <x:v>本轮主线</x:v>
      </x:c>
      <x:c r="E83" s="24" t="str">
        <x:v>T07</x:v>
      </x:c>
      <x:c r="F83" s="24" t="str">
        <x:v>AC-M-01</x:v>
      </x:c>
      <x:c r="G83" s="24" t="str">
        <x:v>tests/unit/asset-import.test.ts</x:v>
      </x:c>
      <x:c r="H83" s="24" t="str">
        <x:v>显式选择/拖入</x:v>
      </x:c>
      <x:c r="I83" s="24" t="str">
        <x:v>先在本地解析类型、hash与缩略图，再确认入库</x:v>
      </x:c>
      <x:c r="J83" s="24" t="str">
        <x:v>逐个列出格式/体积/损坏错误</x:v>
      </x:c>
      <x:c r="K83" s="24" t="str">
        <x:v>事务写素材；失败不留坏节点</x:v>
      </x:c>
      <x:c r="L83" s="24" t="str">
        <x:v>本地，不上传Core</x:v>
      </x:c>
      <x:c r="M83" s="26" t="str">
        <x:v>待实施</x:v>
      </x:c>
      <x:c r="N83" s="24" t="str"/>
      <x:c r="O83" s="24" t="str">
        <x:v>Design 1.0</x:v>
      </x:c>
    </x:row>
    <x:row r="84" ht="92" customHeight="1">
      <x:c r="A84" s="24" t="str">
        <x:v>M-02</x:v>
      </x:c>
      <x:c r="B84" s="24" t="str">
        <x:v>批量导入</x:v>
      </x:c>
      <x:c r="C84" s="24" t="str">
        <x:v>P04</x:v>
      </x:c>
      <x:c r="D84" s="24" t="str">
        <x:v>本轮主线</x:v>
      </x:c>
      <x:c r="E84" s="24" t="str">
        <x:v>T07</x:v>
      </x:c>
      <x:c r="F84" s="24" t="str">
        <x:v>AC-M-02</x:v>
      </x:c>
      <x:c r="G84" s="24" t="str">
        <x:v>tests/unit/asset-import.test.ts</x:v>
      </x:c>
      <x:c r="H84" s="24" t="str">
        <x:v>一次最多50个文件（产品初值）</x:v>
      </x:c>
      <x:c r="I84" s="24" t="str">
        <x:v>逐项显示进度，成功项保留</x:v>
      </x:c>
      <x:c r="J84" s="24" t="str">
        <x:v>失败可重选；不宣称全部成功</x:v>
      </x:c>
      <x:c r="K84" s="24" t="str">
        <x:v>逐项素材记录</x:v>
      </x:c>
      <x:c r="L84" s="24" t="str">
        <x:v>本地，不计费</x:v>
      </x:c>
      <x:c r="M84" s="26" t="str">
        <x:v>待实施</x:v>
      </x:c>
      <x:c r="N84" s="24" t="str"/>
      <x:c r="O84" s="24" t="str">
        <x:v>Design 1.0</x:v>
      </x:c>
    </x:row>
    <x:row r="85" ht="92" customHeight="1">
      <x:c r="A85" s="24" t="str">
        <x:v>M-03</x:v>
      </x:c>
      <x:c r="B85" s="24" t="str">
        <x:v>查看大图</x:v>
      </x:c>
      <x:c r="C85" s="24" t="str">
        <x:v>P04</x:v>
      </x:c>
      <x:c r="D85" s="24" t="str">
        <x:v>本轮主线</x:v>
      </x:c>
      <x:c r="E85" s="24" t="str">
        <x:v>T16</x:v>
      </x:c>
      <x:c r="F85" s="24" t="str">
        <x:v>AC-M-03</x:v>
      </x:c>
      <x:c r="G85" s="24" t="str">
        <x:v>tests/e2e/asset-library.spec.ts</x:v>
      </x:c>
      <x:c r="H85" s="24" t="str">
        <x:v>图片可读</x:v>
      </x:c>
      <x:c r="I85" s="24" t="str">
        <x:v>遮罩层预览，适配/原尺寸</x:v>
      </x:c>
      <x:c r="J85" s="24" t="str">
        <x:v>缺失提供重新关联</x:v>
      </x:c>
      <x:c r="K85" s="24" t="str">
        <x:v>不写项目</x:v>
      </x:c>
      <x:c r="L85" s="24" t="str">
        <x:v>本地，不计费</x:v>
      </x:c>
      <x:c r="M85" s="26" t="str">
        <x:v>待实施</x:v>
      </x:c>
      <x:c r="N85" s="24" t="str"/>
      <x:c r="O85" s="24" t="str">
        <x:v>Design 1.0</x:v>
      </x:c>
    </x:row>
    <x:row r="86" ht="92" customHeight="1">
      <x:c r="A86" s="24" t="str">
        <x:v>M-04</x:v>
      </x:c>
      <x:c r="B86" s="24" t="str">
        <x:v>播放/暂停</x:v>
      </x:c>
      <x:c r="C86" s="24" t="str">
        <x:v>P04</x:v>
      </x:c>
      <x:c r="D86" s="24" t="str">
        <x:v>本轮主线</x:v>
      </x:c>
      <x:c r="E86" s="24" t="str">
        <x:v>T16</x:v>
      </x:c>
      <x:c r="F86" s="24" t="str">
        <x:v>AC-M-04</x:v>
      </x:c>
      <x:c r="G86" s="24" t="str">
        <x:v>tests/e2e/asset-library.spec.ts</x:v>
      </x:c>
      <x:c r="H86" s="24" t="str">
        <x:v>视频/音频可读</x:v>
      </x:c>
      <x:c r="I86" s="24" t="str">
        <x:v>仅当前媒体播放，默认无自动播放</x:v>
      </x:c>
      <x:c r="J86" s="24" t="str">
        <x:v>解码失败给下载原文件</x:v>
      </x:c>
      <x:c r="K86" s="24" t="str">
        <x:v>不改变源文件</x:v>
      </x:c>
      <x:c r="L86" s="24" t="str">
        <x:v>本地，不计费</x:v>
      </x:c>
      <x:c r="M86" s="26" t="str">
        <x:v>待实施</x:v>
      </x:c>
      <x:c r="N86" s="24" t="str"/>
      <x:c r="O86" s="24" t="str">
        <x:v>Design 1.0</x:v>
      </x:c>
    </x:row>
    <x:row r="87" ht="92" customHeight="1">
      <x:c r="A87" s="24" t="str">
        <x:v>M-05</x:v>
      </x:c>
      <x:c r="B87" s="24" t="str">
        <x:v>静音/音量</x:v>
      </x:c>
      <x:c r="C87" s="24" t="str">
        <x:v>P04</x:v>
      </x:c>
      <x:c r="D87" s="24" t="str">
        <x:v>本轮主线</x:v>
      </x:c>
      <x:c r="E87" s="24" t="str">
        <x:v>T16</x:v>
      </x:c>
      <x:c r="F87" s="24" t="str">
        <x:v>AC-M-05</x:v>
      </x:c>
      <x:c r="G87" s="24" t="str">
        <x:v>tests/e2e/asset-library.spec.ts</x:v>
      </x:c>
      <x:c r="H87" s="24" t="str">
        <x:v>媒体可播放</x:v>
      </x:c>
      <x:c r="I87" s="24" t="str">
        <x:v>记住会话音量；首次默认静音</x:v>
      </x:c>
      <x:c r="J87" s="24" t="str">
        <x:v>设备不可用不影响生成</x:v>
      </x:c>
      <x:c r="K87" s="24" t="str">
        <x:v>会话偏好</x:v>
      </x:c>
      <x:c r="L87" s="24" t="str">
        <x:v>本地，不计费</x:v>
      </x:c>
      <x:c r="M87" s="26" t="str">
        <x:v>待实施</x:v>
      </x:c>
      <x:c r="N87" s="24" t="str"/>
      <x:c r="O87" s="24" t="str">
        <x:v>Design 1.0</x:v>
      </x:c>
    </x:row>
    <x:row r="88" ht="92" customHeight="1">
      <x:c r="A88" s="24" t="str">
        <x:v>M-06</x:v>
      </x:c>
      <x:c r="B88" s="24" t="str">
        <x:v>播放进度</x:v>
      </x:c>
      <x:c r="C88" s="24" t="str">
        <x:v>P04</x:v>
      </x:c>
      <x:c r="D88" s="24" t="str">
        <x:v>本轮主线</x:v>
      </x:c>
      <x:c r="E88" s="24" t="str">
        <x:v>T16</x:v>
      </x:c>
      <x:c r="F88" s="24" t="str">
        <x:v>AC-M-06</x:v>
      </x:c>
      <x:c r="G88" s="24" t="str">
        <x:v>tests/e2e/asset-library.spec.ts</x:v>
      </x:c>
      <x:c r="H88" s="24" t="str">
        <x:v>可定位媒体</x:v>
      </x:c>
      <x:c r="I88" s="24" t="str">
        <x:v>拖动或键盘±5秒</x:v>
      </x:c>
      <x:c r="J88" s="24" t="str">
        <x:v>缓冲不足显示加载，不改变素材时长</x:v>
      </x:c>
      <x:c r="K88" s="24" t="str">
        <x:v>不持久化媒体内容</x:v>
      </x:c>
      <x:c r="L88" s="24" t="str">
        <x:v>本地，不计费</x:v>
      </x:c>
      <x:c r="M88" s="26" t="str">
        <x:v>待实施</x:v>
      </x:c>
      <x:c r="N88" s="24" t="str"/>
      <x:c r="O88" s="24" t="str">
        <x:v>Design 1.0</x:v>
      </x:c>
    </x:row>
    <x:row r="89" ht="92" customHeight="1">
      <x:c r="A89" s="24" t="str">
        <x:v>M-07</x:v>
      </x:c>
      <x:c r="B89" s="24" t="str">
        <x:v>修改素材名称/标签</x:v>
      </x:c>
      <x:c r="C89" s="24" t="str">
        <x:v>P04</x:v>
      </x:c>
      <x:c r="D89" s="24" t="str">
        <x:v>本轮主线</x:v>
      </x:c>
      <x:c r="E89" s="24" t="str">
        <x:v>T16</x:v>
      </x:c>
      <x:c r="F89" s="24" t="str">
        <x:v>AC-M-07</x:v>
      </x:c>
      <x:c r="G89" s="24" t="str">
        <x:v>tests/e2e/asset-library.spec.ts</x:v>
      </x:c>
      <x:c r="H89" s="24" t="str">
        <x:v>素材可编辑</x:v>
      </x:c>
      <x:c r="I89" s="24" t="str">
        <x:v>更新描述，不更换内容哈希</x:v>
      </x:c>
      <x:c r="J89" s="24" t="str">
        <x:v>引用节点显示名同步</x:v>
      </x:c>
      <x:c r="K89" s="24" t="str">
        <x:v>可撤销</x:v>
      </x:c>
      <x:c r="L89" s="24" t="str">
        <x:v>本地，不计费</x:v>
      </x:c>
      <x:c r="M89" s="26" t="str">
        <x:v>待实施</x:v>
      </x:c>
      <x:c r="N89" s="24" t="str"/>
      <x:c r="O89" s="24" t="str">
        <x:v>Design 1.0</x:v>
      </x:c>
    </x:row>
    <x:row r="90" ht="92" customHeight="1">
      <x:c r="A90" s="24" t="str">
        <x:v>M-08</x:v>
      </x:c>
      <x:c r="B90" s="24" t="str">
        <x:v>添加到画布</x:v>
      </x:c>
      <x:c r="C90" s="24" t="str">
        <x:v>P04</x:v>
      </x:c>
      <x:c r="D90" s="24" t="str">
        <x:v>本轮主线</x:v>
      </x:c>
      <x:c r="E90" s="24" t="str">
        <x:v>T16</x:v>
      </x:c>
      <x:c r="F90" s="24" t="str">
        <x:v>AC-M-08</x:v>
      </x:c>
      <x:c r="G90" s="24" t="str">
        <x:v>tests/e2e/asset-library.spec.ts</x:v>
      </x:c>
      <x:c r="H90" s="24" t="str">
        <x:v>有目标项目</x:v>
      </x:c>
      <x:c r="I90" s="24" t="str">
        <x:v>创建素材引用节点；无项目先选项目</x:v>
      </x:c>
      <x:c r="J90" s="24" t="str">
        <x:v>目标只读阻止写入</x:v>
      </x:c>
      <x:c r="K90" s="24" t="str">
        <x:v>新nodeId，asset不复制</x:v>
      </x:c>
      <x:c r="L90" s="24" t="str">
        <x:v>本地，不计费</x:v>
      </x:c>
      <x:c r="M90" s="26" t="str">
        <x:v>待实施</x:v>
      </x:c>
      <x:c r="N90" s="24" t="str"/>
      <x:c r="O90" s="24" t="str">
        <x:v>Design 1.0</x:v>
      </x:c>
    </x:row>
    <x:row r="91" ht="92" customHeight="1">
      <x:c r="A91" s="24" t="str">
        <x:v>M-09</x:v>
      </x:c>
      <x:c r="B91" s="24" t="str">
        <x:v>替换当前输入</x:v>
      </x:c>
      <x:c r="C91" s="24" t="str">
        <x:v>P04</x:v>
      </x:c>
      <x:c r="D91" s="24" t="str">
        <x:v>本轮主线</x:v>
      </x:c>
      <x:c r="E91" s="24" t="str">
        <x:v>T16</x:v>
      </x:c>
      <x:c r="F91" s="24" t="str">
        <x:v>AC-M-09</x:v>
      </x:c>
      <x:c r="G91" s="24" t="str">
        <x:v>tests/e2e/asset-library.spec.ts</x:v>
      </x:c>
      <x:c r="H91" s="24" t="str">
        <x:v>草稿节点可编辑</x:v>
      </x:c>
      <x:c r="I91" s="24" t="str">
        <x:v>选择新素材并列出影响的下游</x:v>
      </x:c>
      <x:c r="J91" s="24" t="str">
        <x:v>运行快照和历史不变</x:v>
      </x:c>
      <x:c r="K91" s="24" t="str">
        <x:v>可撤销，标记待更新</x:v>
      </x:c>
      <x:c r="L91" s="24" t="str">
        <x:v>本地，不计费</x:v>
      </x:c>
      <x:c r="M91" s="26" t="str">
        <x:v>待实施</x:v>
      </x:c>
      <x:c r="N91" s="24" t="str"/>
      <x:c r="O91" s="24" t="str">
        <x:v>Design 1.0</x:v>
      </x:c>
    </x:row>
    <x:row r="92" ht="92" customHeight="1">
      <x:c r="A92" s="24" t="str">
        <x:v>M-10</x:v>
      </x:c>
      <x:c r="B92" s="24" t="str">
        <x:v>重新关联丢失素材</x:v>
      </x:c>
      <x:c r="C92" s="24" t="str">
        <x:v>P04</x:v>
      </x:c>
      <x:c r="D92" s="24" t="str">
        <x:v>本轮主线</x:v>
      </x:c>
      <x:c r="E92" s="24" t="str">
        <x:v>T16</x:v>
      </x:c>
      <x:c r="F92" s="24" t="str">
        <x:v>AC-M-10</x:v>
      </x:c>
      <x:c r="G92" s="24" t="str">
        <x:v>tests/e2e/asset-library.spec.ts</x:v>
      </x:c>
      <x:c r="H92" s="24" t="str">
        <x:v>用户主动选择文件</x:v>
      </x:c>
      <x:c r="I92" s="24" t="str">
        <x:v>hash相同恢复；不同则另建素材并确认替换</x:v>
      </x:c>
      <x:c r="J92" s="24" t="str">
        <x:v>不能把同名视为相同内容</x:v>
      </x:c>
      <x:c r="K92" s="24" t="str">
        <x:v>保留旧asset来源</x:v>
      </x:c>
      <x:c r="L92" s="24" t="str">
        <x:v>本地，不计费</x:v>
      </x:c>
      <x:c r="M92" s="26" t="str">
        <x:v>待实施</x:v>
      </x:c>
      <x:c r="N92" s="24" t="str"/>
      <x:c r="O92" s="24" t="str">
        <x:v>Design 1.0</x:v>
      </x:c>
    </x:row>
    <x:row r="93" ht="92" customHeight="1">
      <x:c r="A93" s="24" t="str">
        <x:v>M-11</x:v>
      </x:c>
      <x:c r="B93" s="24" t="str">
        <x:v>下载原素材</x:v>
      </x:c>
      <x:c r="C93" s="24" t="str">
        <x:v>P04</x:v>
      </x:c>
      <x:c r="D93" s="24" t="str">
        <x:v>本轮主线</x:v>
      </x:c>
      <x:c r="E93" s="24" t="str">
        <x:v>T16</x:v>
      </x:c>
      <x:c r="F93" s="24" t="str">
        <x:v>AC-M-11</x:v>
      </x:c>
      <x:c r="G93" s="24" t="str">
        <x:v>tests/e2e/asset-library.spec.ts</x:v>
      </x:c>
      <x:c r="H93" s="24" t="str">
        <x:v>本地或已授权内容可得</x:v>
      </x:c>
      <x:c r="I93" s="24" t="str">
        <x:v>触发浏览器下载，显示文件名</x:v>
      </x:c>
      <x:c r="J93" s="24" t="str">
        <x:v>远端过期不自动抓取任意URL</x:v>
      </x:c>
      <x:c r="K93" s="24" t="str">
        <x:v>不声称下载目录已写入</x:v>
      </x:c>
      <x:c r="L93" s="24" t="str">
        <x:v>GET content仅同一授权源</x:v>
      </x:c>
      <x:c r="M93" s="26" t="str">
        <x:v>待实施</x:v>
      </x:c>
      <x:c r="N93" s="24" t="str"/>
      <x:c r="O93" s="24" t="str">
        <x:v>Design 1.0</x:v>
      </x:c>
    </x:row>
    <x:row r="94" ht="92" customHeight="1">
      <x:c r="A94" s="24" t="str">
        <x:v>M-12</x:v>
      </x:c>
      <x:c r="B94" s="24" t="str">
        <x:v>移除素材</x:v>
      </x:c>
      <x:c r="C94" s="24" t="str">
        <x:v>P04</x:v>
      </x:c>
      <x:c r="D94" s="24" t="str">
        <x:v>本轮主线</x:v>
      </x:c>
      <x:c r="E94" s="24" t="str">
        <x:v>T08</x:v>
      </x:c>
      <x:c r="F94" s="24" t="str">
        <x:v>AC-M-12</x:v>
      </x:c>
      <x:c r="G94" s="24" t="str">
        <x:v>tests/unit/asset-retention.test.ts</x:v>
      </x:c>
      <x:c r="H94" s="24" t="str">
        <x:v>检查项目引用</x:v>
      </x:c>
      <x:c r="I94" s="24" t="str">
        <x:v>有引用禁止永久删除，可先解除引用</x:v>
      </x:c>
      <x:c r="J94" s="24" t="str">
        <x:v>活动/未知任务关联保留</x:v>
      </x:c>
      <x:c r="K94" s="24" t="str">
        <x:v>软删除可恢复</x:v>
      </x:c>
      <x:c r="L94" s="24" t="str">
        <x:v>本地，不删Core资产</x:v>
      </x:c>
      <x:c r="M94" s="26" t="str">
        <x:v>待实施</x:v>
      </x:c>
      <x:c r="N94" s="24" t="str"/>
      <x:c r="O94" s="24" t="str">
        <x:v>Design 1.0</x:v>
      </x:c>
    </x:row>
    <x:row r="95" ht="92" customHeight="1">
      <x:c r="A95" s="24" t="str">
        <x:v>M-13</x:v>
      </x:c>
      <x:c r="B95" s="24" t="str">
        <x:v>素材筛选/排序</x:v>
      </x:c>
      <x:c r="C95" s="24" t="str">
        <x:v>P04</x:v>
      </x:c>
      <x:c r="D95" s="24" t="str">
        <x:v>本轮主线</x:v>
      </x:c>
      <x:c r="E95" s="24" t="str">
        <x:v>T16</x:v>
      </x:c>
      <x:c r="F95" s="24" t="str">
        <x:v>AC-M-13</x:v>
      </x:c>
      <x:c r="G95" s="24" t="str">
        <x:v>tests/e2e/asset-library.spec.ts</x:v>
      </x:c>
      <x:c r="H95" s="24" t="str">
        <x:v>素材库</x:v>
      </x:c>
      <x:c r="I95" s="24" t="str">
        <x:v>类型、标签、最近添加、被引用筛选</x:v>
      </x:c>
      <x:c r="J95" s="24" t="str">
        <x:v>空结果给清除筛选</x:v>
      </x:c>
      <x:c r="K95" s="24" t="str">
        <x:v>UI偏好</x:v>
      </x:c>
      <x:c r="L95" s="24" t="str">
        <x:v>本地，不计费</x:v>
      </x:c>
      <x:c r="M95" s="26" t="str">
        <x:v>待实施</x:v>
      </x:c>
      <x:c r="N95" s="24" t="str"/>
      <x:c r="O95" s="24" t="str">
        <x:v>Design 1.0</x:v>
      </x:c>
    </x:row>
    <x:row r="96" ht="92" customHeight="1">
      <x:c r="A96" s="24" t="str">
        <x:v>M-14</x:v>
      </x:c>
      <x:c r="B96" s="24" t="str">
        <x:v>网格/列表</x:v>
      </x:c>
      <x:c r="C96" s="24" t="str">
        <x:v>P04</x:v>
      </x:c>
      <x:c r="D96" s="24" t="str">
        <x:v>本轮主线</x:v>
      </x:c>
      <x:c r="E96" s="24" t="str">
        <x:v>T16</x:v>
      </x:c>
      <x:c r="F96" s="24" t="str">
        <x:v>AC-M-14</x:v>
      </x:c>
      <x:c r="G96" s="24" t="str">
        <x:v>tests/e2e/asset-library.spec.ts</x:v>
      </x:c>
      <x:c r="H96" s="24" t="str">
        <x:v>素材库</x:v>
      </x:c>
      <x:c r="I96" s="24" t="str">
        <x:v>保持选择与筛选</x:v>
      </x:c>
      <x:c r="J96" s="24" t="str">
        <x:v>无数据副作用</x:v>
      </x:c>
      <x:c r="K96" s="24" t="str">
        <x:v>UI偏好</x:v>
      </x:c>
      <x:c r="L96" s="24" t="str">
        <x:v>本地，不计费</x:v>
      </x:c>
      <x:c r="M96" s="26" t="str">
        <x:v>待实施</x:v>
      </x:c>
      <x:c r="N96" s="24" t="str"/>
      <x:c r="O96" s="24" t="str">
        <x:v>Design 1.0</x:v>
      </x:c>
    </x:row>
    <x:row r="97" ht="92" customHeight="1">
      <x:c r="A97" s="24" t="str">
        <x:v>M-15</x:v>
      </x:c>
      <x:c r="B97" s="24" t="str">
        <x:v>详情与引用位置</x:v>
      </x:c>
      <x:c r="C97" s="24" t="str">
        <x:v>P04</x:v>
      </x:c>
      <x:c r="D97" s="24" t="str">
        <x:v>本轮主线</x:v>
      </x:c>
      <x:c r="E97" s="24" t="str">
        <x:v>T16</x:v>
      </x:c>
      <x:c r="F97" s="24" t="str">
        <x:v>AC-M-15</x:v>
      </x:c>
      <x:c r="G97" s="24" t="str">
        <x:v>tests/e2e/asset-library.spec.ts</x:v>
      </x:c>
      <x:c r="H97" s="24" t="str">
        <x:v>单素材</x:v>
      </x:c>
      <x:c r="I97" s="24" t="str">
        <x:v>列出本地位置、来源、hash、被使用节点</x:v>
      </x:c>
      <x:c r="J97" s="24" t="str">
        <x:v>缺失字段显示未知</x:v>
      </x:c>
      <x:c r="K97" s="24" t="str">
        <x:v>只读</x:v>
      </x:c>
      <x:c r="L97" s="24" t="str">
        <x:v>本地，不计费</x:v>
      </x:c>
      <x:c r="M97" s="26" t="str">
        <x:v>待实施</x:v>
      </x:c>
      <x:c r="N97" s="24" t="str"/>
      <x:c r="O97" s="24" t="str">
        <x:v>Design 1.0</x:v>
      </x:c>
    </x:row>
    <x:row r="98" ht="92" customHeight="1">
      <x:c r="A98" s="24" t="str">
        <x:v>V-01</x:v>
      </x:c>
      <x:c r="B98" s="24" t="str">
        <x:v>选择视频模型</x:v>
      </x:c>
      <x:c r="C98" s="24" t="str">
        <x:v>P03</x:v>
      </x:c>
      <x:c r="D98" s="24" t="str">
        <x:v>本轮主线</x:v>
      </x:c>
      <x:c r="E98" s="24" t="str">
        <x:v>T14</x:v>
      </x:c>
      <x:c r="F98" s="24" t="str">
        <x:v>AC-V-01</x:v>
      </x:c>
      <x:c r="G98" s="24" t="str">
        <x:v>tests/e2e/typed-nodes.spec.ts</x:v>
      </x:c>
      <x:c r="H98" s="24" t="str">
        <x:v>连接模型列表可得</x:v>
      </x:c>
      <x:c r="I98" s="24" t="str">
        <x:v>选择逻辑模型；不把文字模型当视频模型</x:v>
      </x:c>
      <x:c r="J98" s="24" t="str">
        <x:v>能力未核验时禁用运行</x:v>
      </x:c>
      <x:c r="K98" s="24" t="str">
        <x:v>写草稿；旧run模型不改</x:v>
      </x:c>
      <x:c r="L98" s="24" t="str">
        <x:v>GET /v1/models只读</x:v>
      </x:c>
      <x:c r="M98" s="26" t="str">
        <x:v>待实施</x:v>
      </x:c>
      <x:c r="N98" s="24" t="str"/>
      <x:c r="O98" s="24" t="str">
        <x:v>Design 1.0</x:v>
      </x:c>
    </x:row>
    <x:row r="99" ht="92" customHeight="1">
      <x:c r="A99" s="24" t="str">
        <x:v>V-02</x:v>
      </x:c>
      <x:c r="B99" s="24" t="str">
        <x:v>时长输入</x:v>
      </x:c>
      <x:c r="C99" s="24" t="str">
        <x:v>P03</x:v>
      </x:c>
      <x:c r="D99" s="24" t="str">
        <x:v>本轮主线</x:v>
      </x:c>
      <x:c r="E99" s="24" t="str">
        <x:v>T14</x:v>
      </x:c>
      <x:c r="F99" s="24" t="str">
        <x:v>AC-V-02</x:v>
      </x:c>
      <x:c r="G99" s="24" t="str">
        <x:v>tests/e2e/typed-nodes.spec.ts</x:v>
      </x:c>
      <x:c r="H99" s="24" t="str">
        <x:v>有已核验规格</x:v>
      </x:c>
      <x:c r="I99" s="24" t="str">
        <x:v>整数框与可选滑杆同步；显示单位秒</x:v>
      </x:c>
      <x:c r="J99" s="24" t="str">
        <x:v>超范围报错不静默夹值</x:v>
      </x:c>
      <x:c r="K99" s="24" t="str">
        <x:v>参数草稿可撤销</x:v>
      </x:c>
      <x:c r="L99" s="24" t="str">
        <x:v>无请求</x:v>
      </x:c>
      <x:c r="M99" s="26" t="str">
        <x:v>待实施</x:v>
      </x:c>
      <x:c r="N99" s="24" t="str"/>
      <x:c r="O99" s="24" t="str">
        <x:v>Design 1.0</x:v>
      </x:c>
    </x:row>
    <x:row r="100" ht="92" customHeight="1">
      <x:c r="A100" s="24" t="str">
        <x:v>V-03</x:v>
      </x:c>
      <x:c r="B100" s="24" t="str">
        <x:v>画幅比例</x:v>
      </x:c>
      <x:c r="C100" s="24" t="str">
        <x:v>P03</x:v>
      </x:c>
      <x:c r="D100" s="24" t="str">
        <x:v>本轮主线</x:v>
      </x:c>
      <x:c r="E100" s="24" t="str">
        <x:v>T14</x:v>
      </x:c>
      <x:c r="F100" s="24" t="str">
        <x:v>AC-V-03</x:v>
      </x:c>
      <x:c r="G100" s="24" t="str">
        <x:v>tests/e2e/typed-nodes.spec.ts</x:v>
      </x:c>
      <x:c r="H100" s="24" t="str">
        <x:v>有已核验枚举</x:v>
      </x:c>
      <x:c r="I100" s="24" t="str">
        <x:v>显示横/竖比例chips；不裁剪源图</x:v>
      </x:c>
      <x:c r="J100" s="24" t="str">
        <x:v>旧比例不支持时显示需选择</x:v>
      </x:c>
      <x:c r="K100" s="24" t="str">
        <x:v>参数草稿可撤销</x:v>
      </x:c>
      <x:c r="L100" s="24" t="str">
        <x:v>无请求</x:v>
      </x:c>
      <x:c r="M100" s="26" t="str">
        <x:v>待实施</x:v>
      </x:c>
      <x:c r="N100" s="24" t="str"/>
      <x:c r="O100" s="24" t="str">
        <x:v>Design 1.0</x:v>
      </x:c>
    </x:row>
    <x:row r="101" ht="92" customHeight="1">
      <x:c r="A101" s="24" t="str">
        <x:v>V-04</x:v>
      </x:c>
      <x:c r="B101" s="24" t="str">
        <x:v>清晰度</x:v>
      </x:c>
      <x:c r="C101" s="24" t="str">
        <x:v>P03</x:v>
      </x:c>
      <x:c r="D101" s="24" t="str">
        <x:v>本轮主线</x:v>
      </x:c>
      <x:c r="E101" s="24" t="str">
        <x:v>T14</x:v>
      </x:c>
      <x:c r="F101" s="24" t="str">
        <x:v>AC-V-04</x:v>
      </x:c>
      <x:c r="G101" s="24" t="str">
        <x:v>tests/e2e/typed-nodes.spec.ts</x:v>
      </x:c>
      <x:c r="H101" s="24" t="str">
        <x:v>有已核验枚举</x:v>
      </x:c>
      <x:c r="I101" s="24" t="str">
        <x:v>选择后显示实际请求规格</x:v>
      </x:c>
      <x:c r="J101" s="24" t="str">
        <x:v>不因UI出现就承诺4K</x:v>
      </x:c>
      <x:c r="K101" s="24" t="str">
        <x:v>参数草稿可撤销</x:v>
      </x:c>
      <x:c r="L101" s="24" t="str">
        <x:v>无请求</x:v>
      </x:c>
      <x:c r="M101" s="26" t="str">
        <x:v>待实施</x:v>
      </x:c>
      <x:c r="N101" s="24" t="str"/>
      <x:c r="O101" s="24" t="str">
        <x:v>Design 1.0</x:v>
      </x:c>
    </x:row>
    <x:row r="102" ht="92" customHeight="1">
      <x:c r="A102" s="24" t="str">
        <x:v>V-05</x:v>
      </x:c>
      <x:c r="B102" s="24" t="str">
        <x:v>参考素材列表</x:v>
      </x:c>
      <x:c r="C102" s="24" t="str">
        <x:v>P03</x:v>
      </x:c>
      <x:c r="D102" s="24" t="str">
        <x:v>本轮主线</x:v>
      </x:c>
      <x:c r="E102" s="24" t="str">
        <x:v>T14</x:v>
      </x:c>
      <x:c r="F102" s="24" t="str">
        <x:v>AC-V-05</x:v>
      </x:c>
      <x:c r="G102" s="24" t="str">
        <x:v>tests/e2e/typed-nodes.spec.ts</x:v>
      </x:c>
      <x:c r="H102" s="24" t="str">
        <x:v>素材可读</x:v>
      </x:c>
      <x:c r="I102" s="24" t="str">
        <x:v>图/视频分区和序号，显示用途说明</x:v>
      </x:c>
      <x:c r="J102" s="24" t="str">
        <x:v>缺失或过期须修复；不得静默降成文生视频</x:v>
      </x:c>
      <x:c r="K102" s="24" t="str">
        <x:v>固定引用及顺序</x:v>
      </x:c>
      <x:c r="L102" s="24" t="str">
        <x:v>提交时才 POST /v1/assets</x:v>
      </x:c>
      <x:c r="M102" s="26" t="str">
        <x:v>待实施</x:v>
      </x:c>
      <x:c r="N102" s="24" t="str"/>
      <x:c r="O102" s="24" t="str">
        <x:v>Design 1.0</x:v>
      </x:c>
    </x:row>
    <x:row r="103" ht="92" customHeight="1">
      <x:c r="A103" s="24" t="str">
        <x:v>V-06</x:v>
      </x:c>
      <x:c r="B103" s="24" t="str">
        <x:v>打开输入快照</x:v>
      </x:c>
      <x:c r="C103" s="24" t="str">
        <x:v>P03</x:v>
      </x:c>
      <x:c r="D103" s="24" t="str">
        <x:v>本轮主线</x:v>
      </x:c>
      <x:c r="E103" s="24" t="str">
        <x:v>T14</x:v>
      </x:c>
      <x:c r="F103" s="24" t="str">
        <x:v>AC-V-06</x:v>
      </x:c>
      <x:c r="G103" s="24" t="str">
        <x:v>tests/e2e/typed-nodes.spec.ts</x:v>
      </x:c>
      <x:c r="H103" s="24" t="str">
        <x:v>节点有上游</x:v>
      </x:c>
      <x:c r="I103" s="24" t="str">
        <x:v>展示将发送的文字和显式素材</x:v>
      </x:c>
      <x:c r="J103" s="24" t="str">
        <x:v>不隐式加入全画布</x:v>
      </x:c>
      <x:c r="K103" s="24" t="str">
        <x:v>只读</x:v>
      </x:c>
      <x:c r="L103" s="24" t="str">
        <x:v>本地，不计费</x:v>
      </x:c>
      <x:c r="M103" s="26" t="str">
        <x:v>待实施</x:v>
      </x:c>
      <x:c r="N103" s="24" t="str"/>
      <x:c r="O103" s="24" t="str">
        <x:v>Design 1.0</x:v>
      </x:c>
    </x:row>
    <x:row r="104" ht="92" customHeight="1">
      <x:c r="A104" s="24" t="str">
        <x:v>V-07</x:v>
      </x:c>
      <x:c r="B104" s="24" t="str">
        <x:v>重置参数</x:v>
      </x:c>
      <x:c r="C104" s="24" t="str">
        <x:v>P03</x:v>
      </x:c>
      <x:c r="D104" s="24" t="str">
        <x:v>本轮主线</x:v>
      </x:c>
      <x:c r="E104" s="24" t="str">
        <x:v>T14</x:v>
      </x:c>
      <x:c r="F104" s="24" t="str">
        <x:v>AC-V-07</x:v>
      </x:c>
      <x:c r="G104" s="24" t="str">
        <x:v>tests/e2e/typed-nodes.spec.ts</x:v>
      </x:c>
      <x:c r="H104" s="24" t="str">
        <x:v>草稿可编辑</x:v>
      </x:c>
      <x:c r="I104" s="24" t="str">
        <x:v>恢复当前模型已核验默认值，显示变更</x:v>
      </x:c>
      <x:c r="J104" s="24" t="str">
        <x:v>运行中快照不受影响</x:v>
      </x:c>
      <x:c r="K104" s="24" t="str">
        <x:v>可撤销</x:v>
      </x:c>
      <x:c r="L104" s="24" t="str">
        <x:v>本地，不计费</x:v>
      </x:c>
      <x:c r="M104" s="26" t="str">
        <x:v>待实施</x:v>
      </x:c>
      <x:c r="N104" s="24" t="str"/>
      <x:c r="O104" s="24" t="str">
        <x:v>Design 1.0</x:v>
      </x:c>
    </x:row>
    <x:row r="105" ht="92" customHeight="1">
      <x:c r="A105" s="24" t="str">
        <x:v>V-08</x:v>
      </x:c>
      <x:c r="B105" s="24" t="str">
        <x:v>生成预检</x:v>
      </x:c>
      <x:c r="C105" s="24" t="str">
        <x:v>P03</x:v>
      </x:c>
      <x:c r="D105" s="24" t="str">
        <x:v>本轮主线</x:v>
      </x:c>
      <x:c r="E105" s="24" t="str">
        <x:v>T26</x:v>
      </x:c>
      <x:c r="F105" s="24" t="str">
        <x:v>AC-V-08</x:v>
      </x:c>
      <x:c r="G105" s="24" t="str">
        <x:v>tests/e2e/generation-preflight.spec.ts</x:v>
      </x:c>
      <x:c r="H105" s="24" t="str">
        <x:v>数据可写且授权有效</x:v>
      </x:c>
      <x:c r="I105" s="24" t="str">
        <x:v>验证类型、参数、依赖、来源、任务数量</x:v>
      </x:c>
      <x:c r="J105" s="24" t="str">
        <x:v>列出所有阻塞项并定位</x:v>
      </x:c>
      <x:c r="K105" s="24" t="str">
        <x:v>预检不上传不收费</x:v>
      </x:c>
      <x:c r="L105" s="24" t="str">
        <x:v>本地校验，不保证远端准入</x:v>
      </x:c>
      <x:c r="M105" s="26" t="str">
        <x:v>待实施</x:v>
      </x:c>
      <x:c r="N105" s="24" t="str"/>
      <x:c r="O105" s="24" t="str">
        <x:v>Design 1.0</x:v>
      </x:c>
    </x:row>
    <x:row r="106" ht="92" customHeight="1">
      <x:c r="A106" s="24" t="str">
        <x:v>V-09</x:v>
      </x:c>
      <x:c r="B106" s="24" t="str">
        <x:v>确认生成</x:v>
      </x:c>
      <x:c r="C106" s="24" t="str">
        <x:v>P03</x:v>
      </x:c>
      <x:c r="D106" s="24" t="str">
        <x:v>本轮主线</x:v>
      </x:c>
      <x:c r="E106" s="24" t="str">
        <x:v>T27</x:v>
      </x:c>
      <x:c r="F106" s="24" t="str">
        <x:v>AC-V-09</x:v>
      </x:c>
      <x:c r="G106" s="24" t="str">
        <x:v>tests/unit/video-submit.test.ts</x:v>
      </x:c>
      <x:c r="H106" s="24" t="str">
        <x:v>D05显示完整快照</x:v>
      </x:c>
      <x:c r="I106" s="24" t="str">
        <x:v>保存run和幂等键后上传/提交；重复点击单飞</x:v>
      </x:c>
      <x:c r="J106" s="24" t="str">
        <x:v>存储失败禁止提交；网络不明保持未知</x:v>
      </x:c>
      <x:c r="K106" s="24" t="str">
        <x:v>不可用撤销抵消；保留证据</x:v>
      </x:c>
      <x:c r="L106" s="24" t="str">
        <x:v>POST /v1/assets + /v1/videos/generations</x:v>
      </x:c>
      <x:c r="M106" s="26" t="str">
        <x:v>待实施</x:v>
      </x:c>
      <x:c r="N106" s="24" t="str"/>
      <x:c r="O106" s="24" t="str">
        <x:v>Design 1.0</x:v>
      </x:c>
    </x:row>
    <x:row r="107" ht="92" customHeight="1">
      <x:c r="A107" s="24" t="str">
        <x:v>V-10</x:v>
      </x:c>
      <x:c r="B107" s="24" t="str">
        <x:v>取消生成确认</x:v>
      </x:c>
      <x:c r="C107" s="24" t="str">
        <x:v>P03</x:v>
      </x:c>
      <x:c r="D107" s="24" t="str">
        <x:v>本轮主线</x:v>
      </x:c>
      <x:c r="E107" s="24" t="str">
        <x:v>T26</x:v>
      </x:c>
      <x:c r="F107" s="24" t="str">
        <x:v>AC-V-10</x:v>
      </x:c>
      <x:c r="G107" s="24" t="str">
        <x:v>tests/e2e/generation-preflight.spec.ts</x:v>
      </x:c>
      <x:c r="H107" s="24" t="str">
        <x:v>尚未提交</x:v>
      </x:c>
      <x:c r="I107" s="24" t="str">
        <x:v>关闭D05，保留草稿</x:v>
      </x:c>
      <x:c r="J107" s="24" t="str">
        <x:v>已经发出时不展示本地取消成功</x:v>
      </x:c>
      <x:c r="K107" s="24" t="str">
        <x:v>不创建run或发请求</x:v>
      </x:c>
      <x:c r="L107" s="24" t="str">
        <x:v>不计费</x:v>
      </x:c>
      <x:c r="M107" s="26" t="str">
        <x:v>待实施</x:v>
      </x:c>
      <x:c r="N107" s="24" t="str"/>
      <x:c r="O107" s="24" t="str">
        <x:v>Design 1.0</x:v>
      </x:c>
    </x:row>
    <x:row r="108" ht="92" customHeight="1">
      <x:c r="A108" s="24" t="str">
        <x:v>V-11</x:v>
      </x:c>
      <x:c r="B108" s="24" t="str">
        <x:v>查看实时状态</x:v>
      </x:c>
      <x:c r="C108" s="24" t="str">
        <x:v>P03</x:v>
      </x:c>
      <x:c r="D108" s="24" t="str">
        <x:v>本轮主线</x:v>
      </x:c>
      <x:c r="E108" s="24" t="str">
        <x:v>T28</x:v>
      </x:c>
      <x:c r="F108" s="24" t="str">
        <x:v>AC-V-11</x:v>
      </x:c>
      <x:c r="G108" s="24" t="str">
        <x:v>tests/unit/video-polling.test.ts</x:v>
      </x:c>
      <x:c r="H108" s="24" t="str">
        <x:v>有Core任务ID和对应Key</x:v>
      </x:c>
      <x:c r="I108" s="24" t="str">
        <x:v>查询原任务，节流并退避</x:v>
      </x:c>
      <x:c r="J108" s="24" t="str">
        <x:v>401需授权；429按Retry-After；5xx不重提</x:v>
      </x:c>
      <x:c r="K108" s="24" t="str">
        <x:v>更新查询状态而非抹掉任务</x:v>
      </x:c>
      <x:c r="L108" s="24" t="str">
        <x:v>GET /v1/videos/{id}</x:v>
      </x:c>
      <x:c r="M108" s="26" t="str">
        <x:v>待实施</x:v>
      </x:c>
      <x:c r="N108" s="24" t="str"/>
      <x:c r="O108" s="24" t="str">
        <x:v>Design 1.0</x:v>
      </x:c>
    </x:row>
    <x:row r="109" ht="92" customHeight="1">
      <x:c r="A109" s="24" t="str">
        <x:v>V-12</x:v>
      </x:c>
      <x:c r="B109" s="24" t="str">
        <x:v>重新查询</x:v>
      </x:c>
      <x:c r="C109" s="24" t="str">
        <x:v>P03</x:v>
      </x:c>
      <x:c r="D109" s="24" t="str">
        <x:v>本轮主线</x:v>
      </x:c>
      <x:c r="E109" s="24" t="str">
        <x:v>T28</x:v>
      </x:c>
      <x:c r="F109" s="24" t="str">
        <x:v>AC-V-12</x:v>
      </x:c>
      <x:c r="G109" s="24" t="str">
        <x:v>tests/unit/video-polling.test.ts</x:v>
      </x:c>
      <x:c r="H109" s="24" t="str">
        <x:v>查询中断</x:v>
      </x:c>
      <x:c r="I109" s="24" t="str">
        <x:v>同taskId恢复查询，不换幂等键</x:v>
      </x:c>
      <x:c r="J109" s="24" t="str">
        <x:v>状态仍不明持续显示未知</x:v>
      </x:c>
      <x:c r="K109" s="24" t="str">
        <x:v>保留原run</x:v>
      </x:c>
      <x:c r="L109" s="24" t="str">
        <x:v>GET /v1/videos/{id}，不生成</x:v>
      </x:c>
      <x:c r="M109" s="26" t="str">
        <x:v>待实施</x:v>
      </x:c>
      <x:c r="N109" s="24" t="str"/>
      <x:c r="O109" s="24" t="str">
        <x:v>Design 1.0</x:v>
      </x:c>
    </x:row>
    <x:row r="110" ht="92" customHeight="1">
      <x:c r="A110" s="24" t="str">
        <x:v>V-13</x:v>
      </x:c>
      <x:c r="B110" s="24" t="str">
        <x:v>暂停查询</x:v>
      </x:c>
      <x:c r="C110" s="24" t="str">
        <x:v>P03</x:v>
      </x:c>
      <x:c r="D110" s="24" t="str">
        <x:v>本轮主线</x:v>
      </x:c>
      <x:c r="E110" s="24" t="str">
        <x:v>T28</x:v>
      </x:c>
      <x:c r="F110" s="24" t="str">
        <x:v>AC-V-13</x:v>
      </x:c>
      <x:c r="G110" s="24" t="str">
        <x:v>tests/unit/video-polling.test.ts</x:v>
      </x:c>
      <x:c r="H110" s="24" t="str">
        <x:v>已提交任务</x:v>
      </x:c>
      <x:c r="I110" s="24" t="str">
        <x:v>停止本标签页轮询；文案说明任务仍可能运行</x:v>
      </x:c>
      <x:c r="J110" s="24" t="str">
        <x:v>不能等同取消/退款</x:v>
      </x:c>
      <x:c r="K110" s="24" t="str">
        <x:v>保存暂停标记</x:v>
      </x:c>
      <x:c r="L110" s="24" t="str">
        <x:v>无新请求</x:v>
      </x:c>
      <x:c r="M110" s="26" t="str">
        <x:v>待实施</x:v>
      </x:c>
      <x:c r="N110" s="24" t="str"/>
      <x:c r="O110" s="24" t="str">
        <x:v>Design 1.0</x:v>
      </x:c>
    </x:row>
    <x:row r="111" ht="92" customHeight="1">
      <x:c r="A111" s="24" t="str">
        <x:v>V-14</x:v>
      </x:c>
      <x:c r="B111" s="24" t="str">
        <x:v>重新生成</x:v>
      </x:c>
      <x:c r="C111" s="24" t="str">
        <x:v>P03</x:v>
      </x:c>
      <x:c r="D111" s="24" t="str">
        <x:v>本轮主线</x:v>
      </x:c>
      <x:c r="E111" s="24" t="str">
        <x:v>T27</x:v>
      </x:c>
      <x:c r="F111" s="24" t="str">
        <x:v>AC-V-14</x:v>
      </x:c>
      <x:c r="G111" s="24" t="str">
        <x:v>tests/unit/video-submit.test.ts</x:v>
      </x:c>
      <x:c r="H111" s="24" t="str">
        <x:v>用户明确要新尝试</x:v>
      </x:c>
      <x:c r="I111" s="24" t="str">
        <x:v>复制输入到新run确认单，明确可能再次计费</x:v>
      </x:c>
      <x:c r="J111" s="24" t="str">
        <x:v>未知旧任务须风险确认且默认阻止自动新发</x:v>
      </x:c>
      <x:c r="K111" s="24" t="str">
        <x:v>新run新幂等键，旧run保留</x:v>
      </x:c>
      <x:c r="L111" s="24" t="str">
        <x:v>确认后创建新收费任务</x:v>
      </x:c>
      <x:c r="M111" s="26" t="str">
        <x:v>待实施</x:v>
      </x:c>
      <x:c r="N111" s="24" t="str"/>
      <x:c r="O111" s="24" t="str">
        <x:v>Design 1.0</x:v>
      </x:c>
    </x:row>
    <x:row r="112" ht="92" customHeight="1">
      <x:c r="A112" s="24" t="str">
        <x:v>V-15</x:v>
      </x:c>
      <x:c r="B112" s="24" t="str">
        <x:v>创建改版</x:v>
      </x:c>
      <x:c r="C112" s="24" t="str">
        <x:v>P03</x:v>
      </x:c>
      <x:c r="D112" s="24" t="str">
        <x:v>作业能力条件开放</x:v>
      </x:c>
      <x:c r="E112" s="24" t="str">
        <x:v>T32</x:v>
      </x:c>
      <x:c r="F112" s="24" t="str">
        <x:v>AC-V-15</x:v>
      </x:c>
      <x:c r="G112" s="24" t="str">
        <x:v>tests/unit/video-work-context.test.ts</x:v>
      </x:c>
      <x:c r="H112" s="24" t="str">
        <x:v>有work_context且已开放</x:v>
      </x:c>
      <x:c r="I112" s="24" t="str">
        <x:v>固定work_id/base_version_id，展示差异</x:v>
      </x:c>
      <x:c r="J112" s="24" t="str">
        <x:v>父版本不属于此Key则阻止</x:v>
      </x:c>
      <x:c r="K112" s="24" t="str">
        <x:v>保留父链</x:v>
      </x:c>
      <x:c r="L112" s="24" t="str">
        <x:v>确认后 action=revise</x:v>
      </x:c>
      <x:c r="M112" s="26" t="str">
        <x:v>待实施</x:v>
      </x:c>
      <x:c r="N112" s="24" t="str"/>
      <x:c r="O112" s="24" t="str">
        <x:v>Design 1.0</x:v>
      </x:c>
    </x:row>
    <x:row r="113" ht="92" customHeight="1">
      <x:c r="A113" s="24" t="str">
        <x:v>V-16</x:v>
      </x:c>
      <x:c r="B113" s="24" t="str">
        <x:v>创建续写</x:v>
      </x:c>
      <x:c r="C113" s="24" t="str">
        <x:v>P03</x:v>
      </x:c>
      <x:c r="D113" s="24" t="str">
        <x:v>作业能力条件开放</x:v>
      </x:c>
      <x:c r="E113" s="24" t="str">
        <x:v>T32</x:v>
      </x:c>
      <x:c r="F113" s="24" t="str">
        <x:v>AC-V-16</x:v>
      </x:c>
      <x:c r="G113" s="24" t="str">
        <x:v>tests/unit/video-work-context.test.ts</x:v>
      </x:c>
      <x:c r="H113" s="24" t="str">
        <x:v>版本可读且continuation开放</x:v>
      </x:c>
      <x:c r="I113" s="24" t="str">
        <x:v>继承参数并显示新增片段时长</x:v>
      </x:c>
      <x:c r="J113" s="24" t="str">
        <x:v>不支持严格首帧/拼接时明确说明</x:v>
      </x:c>
      <x:c r="K113" s="24" t="str">
        <x:v>新版本，不改源</x:v>
      </x:c>
      <x:c r="L113" s="24" t="str">
        <x:v>POST /v1/video-works/{id}/continue</x:v>
      </x:c>
      <x:c r="M113" s="26" t="str">
        <x:v>待实施</x:v>
      </x:c>
      <x:c r="N113" s="24" t="str"/>
      <x:c r="O113" s="24" t="str">
        <x:v>Design 1.0</x:v>
      </x:c>
    </x:row>
    <x:row r="114" ht="92" customHeight="1">
      <x:c r="A114" s="24" t="str">
        <x:v>V-17</x:v>
      </x:c>
      <x:c r="B114" s="24" t="str">
        <x:v>将结果用于下游</x:v>
      </x:c>
      <x:c r="C114" s="24" t="str">
        <x:v>P03</x:v>
      </x:c>
      <x:c r="D114" s="24" t="str">
        <x:v>本轮主线</x:v>
      </x:c>
      <x:c r="E114" s="24" t="str">
        <x:v>T35</x:v>
      </x:c>
      <x:c r="F114" s="24" t="str">
        <x:v>AC-V-17</x:v>
      </x:c>
      <x:c r="G114" s="24" t="str">
        <x:v>tests/e2e/result-review.spec.ts</x:v>
      </x:c>
      <x:c r="H114" s="24" t="str">
        <x:v>结果已完成</x:v>
      </x:c>
      <x:c r="I114" s="24" t="str">
        <x:v>选择固定版本引用</x:v>
      </x:c>
      <x:c r="J114" s="24" t="str">
        <x:v>新版本到达不偷偷替换此绑定</x:v>
      </x:c>
      <x:c r="K114" s="24" t="str">
        <x:v>下游标记待确认</x:v>
      </x:c>
      <x:c r="L114" s="24" t="str">
        <x:v>本地，不计费</x:v>
      </x:c>
      <x:c r="M114" s="26" t="str">
        <x:v>待实施</x:v>
      </x:c>
      <x:c r="N114" s="24" t="str"/>
      <x:c r="O114" s="24" t="str">
        <x:v>Design 1.0</x:v>
      </x:c>
    </x:row>
    <x:row r="115" ht="92" customHeight="1">
      <x:c r="A115" s="24" t="str">
        <x:v>V-18</x:v>
      </x:c>
      <x:c r="B115" s="24" t="str">
        <x:v>显示账务信息</x:v>
      </x:c>
      <x:c r="C115" s="24" t="str">
        <x:v>P03</x:v>
      </x:c>
      <x:c r="D115" s="24" t="str">
        <x:v>本轮主线</x:v>
      </x:c>
      <x:c r="E115" s="24" t="str">
        <x:v>T34</x:v>
      </x:c>
      <x:c r="F115" s="24" t="str">
        <x:v>AC-V-18</x:v>
      </x:c>
      <x:c r="G115" s="24" t="str">
        <x:v>tests/e2e/task-center.spec.ts</x:v>
      </x:c>
      <x:c r="H115" s="24" t="str">
        <x:v>普通接口确实返回可信字段</x:v>
      </x:c>
      <x:c r="I115" s="24" t="str">
        <x:v>实际、预占、待对账独立显示</x:v>
      </x:c>
      <x:c r="J115" s="24" t="str">
        <x:v>无接口显示未提供，不向admin取数</x:v>
      </x:c>
      <x:c r="K115" s="24" t="str">
        <x:v>显示只读，不本地结算</x:v>
      </x:c>
      <x:c r="L115" s="24" t="str">
        <x:v>只读已有任务字段</x:v>
      </x:c>
      <x:c r="M115" s="26" t="str">
        <x:v>待实施</x:v>
      </x:c>
      <x:c r="N115" s="24" t="str"/>
      <x:c r="O115" s="24" t="str">
        <x:v>Design 1.0</x:v>
      </x:c>
    </x:row>
    <x:row r="116" ht="92" customHeight="1">
      <x:c r="A116" s="24" t="str">
        <x:v>R-01</x:v>
      </x:c>
      <x:c r="B116" s="24" t="str">
        <x:v>打开审片</x:v>
      </x:c>
      <x:c r="C116" s="24" t="str">
        <x:v>P07</x:v>
      </x:c>
      <x:c r="D116" s="24" t="str">
        <x:v>本轮主线</x:v>
      </x:c>
      <x:c r="E116" s="24" t="str">
        <x:v>T35</x:v>
      </x:c>
      <x:c r="F116" s="24" t="str">
        <x:v>AC-R-01</x:v>
      </x:c>
      <x:c r="G116" s="24" t="str">
        <x:v>tests/e2e/result-review.spec.ts</x:v>
      </x:c>
      <x:c r="H116" s="24" t="str">
        <x:v>结果记录存在</x:v>
      </x:c>
      <x:c r="I116" s="24" t="str">
        <x:v>进入P07并加载具体run</x:v>
      </x:c>
      <x:c r="J116" s="24" t="str">
        <x:v>内容不可得显示任务仍可查</x:v>
      </x:c>
      <x:c r="K116" s="24" t="str">
        <x:v>保留浏览位置</x:v>
      </x:c>
      <x:c r="L116" s="24" t="str">
        <x:v>GET鉴权content或本地blob</x:v>
      </x:c>
      <x:c r="M116" s="26" t="str">
        <x:v>待实施</x:v>
      </x:c>
      <x:c r="N116" s="24" t="str"/>
      <x:c r="O116" s="24" t="str">
        <x:v>Design 1.0</x:v>
      </x:c>
    </x:row>
    <x:row r="117" ht="92" customHeight="1">
      <x:c r="A117" s="24" t="str">
        <x:v>R-02</x:v>
      </x:c>
      <x:c r="B117" s="24" t="str">
        <x:v>全屏预览</x:v>
      </x:c>
      <x:c r="C117" s="24" t="str">
        <x:v>P07</x:v>
      </x:c>
      <x:c r="D117" s="24" t="str">
        <x:v>本轮主线</x:v>
      </x:c>
      <x:c r="E117" s="24" t="str">
        <x:v>T35</x:v>
      </x:c>
      <x:c r="F117" s="24" t="str">
        <x:v>AC-R-02</x:v>
      </x:c>
      <x:c r="G117" s="24" t="str">
        <x:v>tests/e2e/result-review.spec.ts</x:v>
      </x:c>
      <x:c r="H117" s="24" t="str">
        <x:v>用户手势允许</x:v>
      </x:c>
      <x:c r="I117" s="24" t="str">
        <x:v>进入浏览器全屏；Esc退出</x:v>
      </x:c>
      <x:c r="J117" s="24" t="str">
        <x:v>被禁止仍可普通播放</x:v>
      </x:c>
      <x:c r="K117" s="24" t="str">
        <x:v>仅UI状态</x:v>
      </x:c>
      <x:c r="L117" s="24" t="str">
        <x:v>本地，不计费</x:v>
      </x:c>
      <x:c r="M117" s="26" t="str">
        <x:v>待实施</x:v>
      </x:c>
      <x:c r="N117" s="24" t="str"/>
      <x:c r="O117" s="24" t="str">
        <x:v>Design 1.0</x:v>
      </x:c>
    </x:row>
    <x:row r="118" ht="92" customHeight="1">
      <x:c r="A118" s="24" t="str">
        <x:v>R-03</x:v>
      </x:c>
      <x:c r="B118" s="24" t="str">
        <x:v>下载视频</x:v>
      </x:c>
      <x:c r="C118" s="24" t="str">
        <x:v>P07</x:v>
      </x:c>
      <x:c r="D118" s="24" t="str">
        <x:v>本轮主线</x:v>
      </x:c>
      <x:c r="E118" s="24" t="str">
        <x:v>T33</x:v>
      </x:c>
      <x:c r="F118" s="24" t="str">
        <x:v>AC-R-03</x:v>
      </x:c>
      <x:c r="G118" s="24" t="str">
        <x:v>tests/unit/media-delivery.test.ts</x:v>
      </x:c>
      <x:c r="H118" s="24" t="str">
        <x:v>有对应Key或本地缓存</x:v>
      </x:c>
      <x:c r="I118" s="24" t="str">
        <x:v>鉴权获取blob后触发下载</x:v>
      </x:c>
      <x:c r="J118" s="24" t="str">
        <x:v>不向跨域重定向泄漏Key；失败可重试下载</x:v>
      </x:c>
      <x:c r="K118" s="24" t="str">
        <x:v>缓存成功与下载触发分开记</x:v>
      </x:c>
      <x:c r="L118" s="24" t="str">
        <x:v>GET /v1/videos/{id}/content</x:v>
      </x:c>
      <x:c r="M118" s="26" t="str">
        <x:v>待实施</x:v>
      </x:c>
      <x:c r="N118" s="24" t="str"/>
      <x:c r="O118" s="24" t="str">
        <x:v>Design 1.0</x:v>
      </x:c>
    </x:row>
    <x:row r="119" ht="92" customHeight="1">
      <x:c r="A119" s="24" t="str">
        <x:v>R-04</x:v>
      </x:c>
      <x:c r="B119" s="24" t="str">
        <x:v>重新下载</x:v>
      </x:c>
      <x:c r="C119" s="24" t="str">
        <x:v>P07</x:v>
      </x:c>
      <x:c r="D119" s="24" t="str">
        <x:v>本轮主线</x:v>
      </x:c>
      <x:c r="E119" s="24" t="str">
        <x:v>T33</x:v>
      </x:c>
      <x:c r="F119" s="24" t="str">
        <x:v>AC-R-04</x:v>
      </x:c>
      <x:c r="G119" s="24" t="str">
        <x:v>tests/unit/media-delivery.test.ts</x:v>
      </x:c>
      <x:c r="H119" s="24" t="str">
        <x:v>下载失败且生成已完成</x:v>
      </x:c>
      <x:c r="I119" s="24" t="str">
        <x:v>只重试内容接口</x:v>
      </x:c>
      <x:c r="J119" s="24" t="str">
        <x:v>过期/权限错误提示，不新生成</x:v>
      </x:c>
      <x:c r="K119" s="24" t="str">
        <x:v>更新delivery状态</x:v>
      </x:c>
      <x:c r="L119" s="24" t="str">
        <x:v>GET content，不生成</x:v>
      </x:c>
      <x:c r="M119" s="26" t="str">
        <x:v>待实施</x:v>
      </x:c>
      <x:c r="N119" s="24" t="str"/>
      <x:c r="O119" s="24" t="str">
        <x:v>Design 1.0</x:v>
      </x:c>
    </x:row>
    <x:row r="120" ht="92" customHeight="1">
      <x:c r="A120" s="24" t="str">
        <x:v>R-05</x:v>
      </x:c>
      <x:c r="B120" s="24" t="str">
        <x:v>复制任务编号</x:v>
      </x:c>
      <x:c r="C120" s="24" t="str">
        <x:v>P07</x:v>
      </x:c>
      <x:c r="D120" s="24" t="str">
        <x:v>本轮主线</x:v>
      </x:c>
      <x:c r="E120" s="24" t="str">
        <x:v>T35</x:v>
      </x:c>
      <x:c r="F120" s="24" t="str">
        <x:v>AC-R-05</x:v>
      </x:c>
      <x:c r="G120" s="24" t="str">
        <x:v>tests/e2e/result-review.spec.ts</x:v>
      </x:c>
      <x:c r="H120" s="24" t="str">
        <x:v>有taskId</x:v>
      </x:c>
      <x:c r="I120" s="24" t="str">
        <x:v>复制服务地址别名与taskId，不复制Key</x:v>
      </x:c>
      <x:c r="J120" s="24" t="str">
        <x:v>剪贴板拒绝可选中文本</x:v>
      </x:c>
      <x:c r="K120" s="24" t="str">
        <x:v>无写入</x:v>
      </x:c>
      <x:c r="L120" s="24" t="str">
        <x:v>本地，不计费</x:v>
      </x:c>
      <x:c r="M120" s="26" t="str">
        <x:v>待实施</x:v>
      </x:c>
      <x:c r="N120" s="24" t="str"/>
      <x:c r="O120" s="24" t="str">
        <x:v>Design 1.0</x:v>
      </x:c>
    </x:row>
    <x:row r="121" ht="92" customHeight="1">
      <x:c r="A121" s="24" t="str">
        <x:v>R-06</x:v>
      </x:c>
      <x:c r="B121" s="24" t="str">
        <x:v>复制参数</x:v>
      </x:c>
      <x:c r="C121" s="24" t="str">
        <x:v>P07</x:v>
      </x:c>
      <x:c r="D121" s="24" t="str">
        <x:v>本轮主线</x:v>
      </x:c>
      <x:c r="E121" s="24" t="str">
        <x:v>T35</x:v>
      </x:c>
      <x:c r="F121" s="24" t="str">
        <x:v>AC-R-06</x:v>
      </x:c>
      <x:c r="G121" s="24" t="str">
        <x:v>tests/e2e/result-review.spec.ts</x:v>
      </x:c>
      <x:c r="H121" s="24" t="str">
        <x:v>有输入快照</x:v>
      </x:c>
      <x:c r="I121" s="24" t="str">
        <x:v>复制脱敏JSON/文本，不含凭据与签名URL</x:v>
      </x:c>
      <x:c r="J121" s="24" t="str">
        <x:v>缺素材ID只保留本地引用说明</x:v>
      </x:c>
      <x:c r="K121" s="24" t="str">
        <x:v>无写入</x:v>
      </x:c>
      <x:c r="L121" s="24" t="str">
        <x:v>本地，不计费</x:v>
      </x:c>
      <x:c r="M121" s="26" t="str">
        <x:v>待实施</x:v>
      </x:c>
      <x:c r="N121" s="24" t="str"/>
      <x:c r="O121" s="24" t="str">
        <x:v>Design 1.0</x:v>
      </x:c>
    </x:row>
    <x:row r="122" ht="92" customHeight="1">
      <x:c r="A122" s="24" t="str">
        <x:v>R-07</x:v>
      </x:c>
      <x:c r="B122" s="24" t="str">
        <x:v>选择历史版本</x:v>
      </x:c>
      <x:c r="C122" s="24" t="str">
        <x:v>P07</x:v>
      </x:c>
      <x:c r="D122" s="24" t="str">
        <x:v>本轮主线</x:v>
      </x:c>
      <x:c r="E122" s="24" t="str">
        <x:v>T35</x:v>
      </x:c>
      <x:c r="F122" s="24" t="str">
        <x:v>AC-R-07</x:v>
      </x:c>
      <x:c r="G122" s="24" t="str">
        <x:v>tests/e2e/result-review.spec.ts</x:v>
      </x:c>
      <x:c r="H122" s="24" t="str">
        <x:v>节点多次执行</x:v>
      </x:c>
      <x:c r="I122" s="24" t="str">
        <x:v>显示该run，运行快照只读</x:v>
      </x:c>
      <x:c r="J122" s="24" t="str">
        <x:v>缺文件保留任务来源</x:v>
      </x:c>
      <x:c r="K122" s="24" t="str">
        <x:v>不改变默认下游，除非点选用</x:v>
      </x:c>
      <x:c r="L122" s="24" t="str">
        <x:v>本地/鉴权查询</x:v>
      </x:c>
      <x:c r="M122" s="26" t="str">
        <x:v>待实施</x:v>
      </x:c>
      <x:c r="N122" s="24" t="str"/>
      <x:c r="O122" s="24" t="str">
        <x:v>Design 1.0</x:v>
      </x:c>
    </x:row>
    <x:row r="123" ht="92" customHeight="1">
      <x:c r="A123" s="24" t="str">
        <x:v>R-08</x:v>
      </x:c>
      <x:c r="B123" s="24" t="str">
        <x:v>比较两个版本</x:v>
      </x:c>
      <x:c r="C123" s="24" t="str">
        <x:v>P07</x:v>
      </x:c>
      <x:c r="D123" s="24" t="str">
        <x:v>本轮主线</x:v>
      </x:c>
      <x:c r="E123" s="24" t="str">
        <x:v>T35</x:v>
      </x:c>
      <x:c r="F123" s="24" t="str">
        <x:v>AC-R-08</x:v>
      </x:c>
      <x:c r="G123" s="24" t="str">
        <x:v>tests/e2e/result-review.spec.ts</x:v>
      </x:c>
      <x:c r="H123" s="24" t="str">
        <x:v>选中两个可读视频</x:v>
      </x:c>
      <x:c r="I123" s="24" t="str">
        <x:v>进入P08</x:v>
      </x:c>
      <x:c r="J123" s="24" t="str">
        <x:v>多于两个要求重新选择</x:v>
      </x:c>
      <x:c r="K123" s="24" t="str">
        <x:v>比较不改变结果</x:v>
      </x:c>
      <x:c r="L123" s="24" t="str">
        <x:v>本地，不计费</x:v>
      </x:c>
      <x:c r="M123" s="26" t="str">
        <x:v>待实施</x:v>
      </x:c>
      <x:c r="N123" s="24" t="str"/>
      <x:c r="O123" s="24" t="str">
        <x:v>Design 1.0</x:v>
      </x:c>
    </x:row>
    <x:row r="124" ht="92" customHeight="1">
      <x:c r="A124" s="24" t="str">
        <x:v>R-09</x:v>
      </x:c>
      <x:c r="B124" s="24" t="str">
        <x:v>同步播放</x:v>
      </x:c>
      <x:c r="C124" s="24" t="str">
        <x:v>P07</x:v>
      </x:c>
      <x:c r="D124" s="24" t="str">
        <x:v>本轮主线</x:v>
      </x:c>
      <x:c r="E124" s="24" t="str">
        <x:v>T35</x:v>
      </x:c>
      <x:c r="F124" s="24" t="str">
        <x:v>AC-R-09</x:v>
      </x:c>
      <x:c r="G124" s="24" t="str">
        <x:v>tests/e2e/result-review.spec.ts</x:v>
      </x:c>
      <x:c r="H124" s="24" t="str">
        <x:v>P08两个媒体就绪</x:v>
      </x:c>
      <x:c r="I124" s="24" t="str">
        <x:v>按共同时间近似播放，短片结束即暂停</x:v>
      </x:c>
      <x:c r="J124" s="24" t="str">
        <x:v>不同帧率显示非帧精确</x:v>
      </x:c>
      <x:c r="K124" s="24" t="str">
        <x:v>不生成新文件</x:v>
      </x:c>
      <x:c r="L124" s="24" t="str">
        <x:v>本地，不计费</x:v>
      </x:c>
      <x:c r="M124" s="26" t="str">
        <x:v>待实施</x:v>
      </x:c>
      <x:c r="N124" s="24" t="str"/>
      <x:c r="O124" s="24" t="str">
        <x:v>Design 1.0</x:v>
      </x:c>
    </x:row>
    <x:row r="125" ht="92" customHeight="1">
      <x:c r="A125" s="24" t="str">
        <x:v>R-10</x:v>
      </x:c>
      <x:c r="B125" s="24" t="str">
        <x:v>交换A/B</x:v>
      </x:c>
      <x:c r="C125" s="24" t="str">
        <x:v>P07</x:v>
      </x:c>
      <x:c r="D125" s="24" t="str">
        <x:v>本轮主线</x:v>
      </x:c>
      <x:c r="E125" s="24" t="str">
        <x:v>T35</x:v>
      </x:c>
      <x:c r="F125" s="24" t="str">
        <x:v>AC-R-10</x:v>
      </x:c>
      <x:c r="G125" s="24" t="str">
        <x:v>tests/e2e/result-review.spec.ts</x:v>
      </x:c>
      <x:c r="H125" s="24" t="str">
        <x:v>P08</x:v>
      </x:c>
      <x:c r="I125" s="24" t="str">
        <x:v>交换展示槽位</x:v>
      </x:c>
      <x:c r="J125" s="24" t="str">
        <x:v>无副作用</x:v>
      </x:c>
      <x:c r="K125" s="24" t="str">
        <x:v>UI状态</x:v>
      </x:c>
      <x:c r="L125" s="24" t="str">
        <x:v>本地，不计费</x:v>
      </x:c>
      <x:c r="M125" s="26" t="str">
        <x:v>待实施</x:v>
      </x:c>
      <x:c r="N125" s="24" t="str"/>
      <x:c r="O125" s="24" t="str">
        <x:v>Design 1.0</x:v>
      </x:c>
    </x:row>
    <x:row r="126" ht="92" customHeight="1">
      <x:c r="A126" s="24" t="str">
        <x:v>R-11</x:v>
      </x:c>
      <x:c r="B126" s="24" t="str">
        <x:v>选为后续输入</x:v>
      </x:c>
      <x:c r="C126" s="24" t="str">
        <x:v>P07</x:v>
      </x:c>
      <x:c r="D126" s="24" t="str">
        <x:v>本轮主线</x:v>
      </x:c>
      <x:c r="E126" s="24" t="str">
        <x:v>T35</x:v>
      </x:c>
      <x:c r="F126" s="24" t="str">
        <x:v>AC-R-11</x:v>
      </x:c>
      <x:c r="G126" s="24" t="str">
        <x:v>tests/e2e/result-review.spec.ts</x:v>
      </x:c>
      <x:c r="H126" s="24" t="str">
        <x:v>结果完成</x:v>
      </x:c>
      <x:c r="I126" s="24" t="str">
        <x:v>显示受影响节点列表后替换选定引用</x:v>
      </x:c>
      <x:c r="J126" s="24" t="str">
        <x:v>已有run不改；不自动重跑</x:v>
      </x:c>
      <x:c r="K126" s="24" t="str">
        <x:v>可撤销草稿引用</x:v>
      </x:c>
      <x:c r="L126" s="24" t="str">
        <x:v>本地，不计费</x:v>
      </x:c>
      <x:c r="M126" s="26" t="str">
        <x:v>待实施</x:v>
      </x:c>
      <x:c r="N126" s="24" t="str"/>
      <x:c r="O126" s="24" t="str">
        <x:v>Design 1.0</x:v>
      </x:c>
    </x:row>
    <x:row r="127" ht="92" customHeight="1">
      <x:c r="A127" s="24" t="str">
        <x:v>R-12</x:v>
      </x:c>
      <x:c r="B127" s="24" t="str">
        <x:v>结果加入素材库</x:v>
      </x:c>
      <x:c r="C127" s="24" t="str">
        <x:v>P07</x:v>
      </x:c>
      <x:c r="D127" s="24" t="str">
        <x:v>本轮主线</x:v>
      </x:c>
      <x:c r="E127" s="24" t="str">
        <x:v>T33</x:v>
      </x:c>
      <x:c r="F127" s="24" t="str">
        <x:v>AC-R-12</x:v>
      </x:c>
      <x:c r="G127" s="24" t="str">
        <x:v>tests/unit/media-delivery.test.ts</x:v>
      </x:c>
      <x:c r="H127" s="24" t="str">
        <x:v>结果可获取</x:v>
      </x:c>
      <x:c r="I127" s="24" t="str">
        <x:v>缓存为项目素材；记录Core来源</x:v>
      </x:c>
      <x:c r="J127" s="24" t="str">
        <x:v>写缓存失败不显示永久保存</x:v>
      </x:c>
      <x:c r="K127" s="24" t="str">
        <x:v>引用计数+hash</x:v>
      </x:c>
      <x:c r="L127" s="24" t="str">
        <x:v>GET content或本地blob</x:v>
      </x:c>
      <x:c r="M127" s="26" t="str">
        <x:v>待实施</x:v>
      </x:c>
      <x:c r="N127" s="24" t="str"/>
      <x:c r="O127" s="24" t="str">
        <x:v>Design 1.0</x:v>
      </x:c>
    </x:row>
    <x:row r="128" ht="92" customHeight="1">
      <x:c r="A128" s="24" t="str">
        <x:v>R-13</x:v>
      </x:c>
      <x:c r="B128" s="24" t="str">
        <x:v>移除结果摆放</x:v>
      </x:c>
      <x:c r="C128" s="24" t="str">
        <x:v>P07</x:v>
      </x:c>
      <x:c r="D128" s="24" t="str">
        <x:v>本轮主线</x:v>
      </x:c>
      <x:c r="E128" s="24" t="str">
        <x:v>T35</x:v>
      </x:c>
      <x:c r="F128" s="24" t="str">
        <x:v>AC-R-13</x:v>
      </x:c>
      <x:c r="G128" s="24" t="str">
        <x:v>tests/e2e/result-review.spec.ts</x:v>
      </x:c>
      <x:c r="H128" s="24" t="str">
        <x:v>画布结果节点</x:v>
      </x:c>
      <x:c r="I128" s="24" t="str">
        <x:v>只删卡片，历史仍在任务/版本</x:v>
      </x:c>
      <x:c r="J128" s="24" t="str">
        <x:v>不可删除运行证据</x:v>
      </x:c>
      <x:c r="K128" s="24" t="str">
        <x:v>可撤销</x:v>
      </x:c>
      <x:c r="L128" s="24" t="str">
        <x:v>本地，不计费</x:v>
      </x:c>
      <x:c r="M128" s="26" t="str">
        <x:v>待实施</x:v>
      </x:c>
      <x:c r="N128" s="24" t="str"/>
      <x:c r="O128" s="24" t="str">
        <x:v>Design 1.0</x:v>
      </x:c>
    </x:row>
    <x:row r="129" ht="92" customHeight="1">
      <x:c r="A129" s="24" t="str">
        <x:v>J-01</x:v>
      </x:c>
      <x:c r="B129" s="24" t="str">
        <x:v>状态筛选</x:v>
      </x:c>
      <x:c r="C129" s="24" t="str">
        <x:v>P06</x:v>
      </x:c>
      <x:c r="D129" s="24" t="str">
        <x:v>本轮主线</x:v>
      </x:c>
      <x:c r="E129" s="24" t="str">
        <x:v>T34</x:v>
      </x:c>
      <x:c r="F129" s="24" t="str">
        <x:v>AC-J-01</x:v>
      </x:c>
      <x:c r="G129" s="24" t="str">
        <x:v>tests/e2e/task-center.spec.ts</x:v>
      </x:c>
      <x:c r="H129" s="24" t="str">
        <x:v>任务页</x:v>
      </x:c>
      <x:c r="I129" s="24" t="str">
        <x:v>执行/查询/下载三个独立筛选</x:v>
      </x:c>
      <x:c r="J129" s="24" t="str">
        <x:v>没有结果显示筛选摘要</x:v>
      </x:c>
      <x:c r="K129" s="24" t="str">
        <x:v>偏好可记住</x:v>
      </x:c>
      <x:c r="L129" s="24" t="str">
        <x:v>本地，不计费</x:v>
      </x:c>
      <x:c r="M129" s="26" t="str">
        <x:v>待实施</x:v>
      </x:c>
      <x:c r="N129" s="24" t="str"/>
      <x:c r="O129" s="24" t="str">
        <x:v>Design 1.0</x:v>
      </x:c>
    </x:row>
    <x:row r="130" ht="92" customHeight="1">
      <x:c r="A130" s="24" t="str">
        <x:v>J-02</x:v>
      </x:c>
      <x:c r="B130" s="24" t="str">
        <x:v>任务详情</x:v>
      </x:c>
      <x:c r="C130" s="24" t="str">
        <x:v>P06</x:v>
      </x:c>
      <x:c r="D130" s="24" t="str">
        <x:v>本轮主线</x:v>
      </x:c>
      <x:c r="E130" s="24" t="str">
        <x:v>T34</x:v>
      </x:c>
      <x:c r="F130" s="24" t="str">
        <x:v>AC-J-02</x:v>
      </x:c>
      <x:c r="G130" s="24" t="str">
        <x:v>tests/e2e/task-center.spec.ts</x:v>
      </x:c>
      <x:c r="H130" s="24" t="str">
        <x:v>一条任务</x:v>
      </x:c>
      <x:c r="I130" s="24" t="str">
        <x:v>展示请求快照、服务绑定和错误</x:v>
      </x:c>
      <x:c r="J130" s="24" t="str">
        <x:v>敏感字段默认遮蔽/不存</x:v>
      </x:c>
      <x:c r="K130" s="24" t="str">
        <x:v>只读</x:v>
      </x:c>
      <x:c r="L130" s="24" t="str">
        <x:v>本地或 GET status</x:v>
      </x:c>
      <x:c r="M130" s="26" t="str">
        <x:v>待实施</x:v>
      </x:c>
      <x:c r="N130" s="24" t="str"/>
      <x:c r="O130" s="24" t="str">
        <x:v>Design 1.0</x:v>
      </x:c>
    </x:row>
    <x:row r="131" ht="92" customHeight="1">
      <x:c r="A131" s="24" t="str">
        <x:v>J-03</x:v>
      </x:c>
      <x:c r="B131" s="24" t="str">
        <x:v>定位到节点</x:v>
      </x:c>
      <x:c r="C131" s="24" t="str">
        <x:v>P06</x:v>
      </x:c>
      <x:c r="D131" s="24" t="str">
        <x:v>本轮主线</x:v>
      </x:c>
      <x:c r="E131" s="24" t="str">
        <x:v>T34</x:v>
      </x:c>
      <x:c r="F131" s="24" t="str">
        <x:v>AC-J-03</x:v>
      </x:c>
      <x:c r="G131" s="24" t="str">
        <x:v>tests/e2e/task-center.spec.ts</x:v>
      </x:c>
      <x:c r="H131" s="24" t="str">
        <x:v>节点仍存在</x:v>
      </x:c>
      <x:c r="I131" s="24" t="str">
        <x:v>打开项目并居中节点</x:v>
      </x:c>
      <x:c r="J131" s="24" t="str">
        <x:v>已删除显示原节点名称与历史</x:v>
      </x:c>
      <x:c r="K131" s="24" t="str">
        <x:v>不重建节点或任务</x:v>
      </x:c>
      <x:c r="L131" s="24" t="str">
        <x:v>本地，不计费</x:v>
      </x:c>
      <x:c r="M131" s="26" t="str">
        <x:v>待实施</x:v>
      </x:c>
      <x:c r="N131" s="24" t="str"/>
      <x:c r="O131" s="24" t="str">
        <x:v>Design 1.0</x:v>
      </x:c>
    </x:row>
    <x:row r="132" ht="92" customHeight="1">
      <x:c r="A132" s="24" t="str">
        <x:v>J-04</x:v>
      </x:c>
      <x:c r="B132" s="24" t="str">
        <x:v>批量刷新</x:v>
      </x:c>
      <x:c r="C132" s="24" t="str">
        <x:v>P06</x:v>
      </x:c>
      <x:c r="D132" s="24" t="str">
        <x:v>本轮主线</x:v>
      </x:c>
      <x:c r="E132" s="24" t="str">
        <x:v>T28</x:v>
      </x:c>
      <x:c r="F132" s="24" t="str">
        <x:v>AC-J-04</x:v>
      </x:c>
      <x:c r="G132" s="24" t="str">
        <x:v>tests/unit/video-polling.test.ts</x:v>
      </x:c>
      <x:c r="H132" s="24" t="str">
        <x:v>选中已知任务</x:v>
      </x:c>
      <x:c r="I132" s="24" t="str">
        <x:v>合并请求并按当前授权分组、限速</x:v>
      </x:c>
      <x:c r="J132" s="24" t="str">
        <x:v>不匹配Key的条目跳过并报告</x:v>
      </x:c>
      <x:c r="K132" s="24" t="str">
        <x:v>保留各任务状态</x:v>
      </x:c>
      <x:c r="L132" s="24" t="str">
        <x:v>GET status，不生成</x:v>
      </x:c>
      <x:c r="M132" s="26" t="str">
        <x:v>待实施</x:v>
      </x:c>
      <x:c r="N132" s="24" t="str"/>
      <x:c r="O132" s="24" t="str">
        <x:v>Design 1.0</x:v>
      </x:c>
    </x:row>
    <x:row r="133" ht="92" customHeight="1">
      <x:c r="A133" s="24" t="str">
        <x:v>J-05</x:v>
      </x:c>
      <x:c r="B133" s="24" t="str">
        <x:v>仅重试查询失败项</x:v>
      </x:c>
      <x:c r="C133" s="24" t="str">
        <x:v>P06</x:v>
      </x:c>
      <x:c r="D133" s="24" t="str">
        <x:v>本轮主线</x:v>
      </x:c>
      <x:c r="E133" s="24" t="str">
        <x:v>T28</x:v>
      </x:c>
      <x:c r="F133" s="24" t="str">
        <x:v>AC-J-05</x:v>
      </x:c>
      <x:c r="G133" s="24" t="str">
        <x:v>tests/unit/video-polling.test.ts</x:v>
      </x:c>
      <x:c r="H133" s="24" t="str">
        <x:v>有查询中断</x:v>
      </x:c>
      <x:c r="I133" s="24" t="str">
        <x:v>不处理已明确生成失败的任务</x:v>
      </x:c>
      <x:c r="J133" s="24" t="str">
        <x:v>禁止自动提交</x:v>
      </x:c>
      <x:c r="K133" s="24" t="str">
        <x:v>查询状态更新</x:v>
      </x:c>
      <x:c r="L133" s="24" t="str">
        <x:v>GET status</x:v>
      </x:c>
      <x:c r="M133" s="26" t="str">
        <x:v>待实施</x:v>
      </x:c>
      <x:c r="N133" s="24" t="str"/>
      <x:c r="O133" s="24" t="str">
        <x:v>Design 1.0</x:v>
      </x:c>
    </x:row>
    <x:row r="134" ht="92" customHeight="1">
      <x:c r="A134" s="24" t="str">
        <x:v>J-06</x:v>
      </x:c>
      <x:c r="B134" s="24" t="str">
        <x:v>移出本地待提交队列</x:v>
      </x:c>
      <x:c r="C134" s="24" t="str">
        <x:v>P06</x:v>
      </x:c>
      <x:c r="D134" s="24" t="str">
        <x:v>本轮主线</x:v>
      </x:c>
      <x:c r="E134" s="24" t="str">
        <x:v>T29</x:v>
      </x:c>
      <x:c r="F134" s="24" t="str">
        <x:v>AC-J-06</x:v>
      </x:c>
      <x:c r="G134" s="24" t="str">
        <x:v>tests/unit/run-queue.test.ts</x:v>
      </x:c>
      <x:c r="H134" s="24" t="str">
        <x:v>尚未发送</x:v>
      </x:c>
      <x:c r="I134" s="24" t="str">
        <x:v>删除未提交执行计划</x:v>
      </x:c>
      <x:c r="J134" s="24" t="str">
        <x:v>发送临界点以持久状态判定；不明则锁定</x:v>
      </x:c>
      <x:c r="K134" s="24" t="str">
        <x:v>记录用户撤回，不退款</x:v>
      </x:c>
      <x:c r="L134" s="24" t="str">
        <x:v>无请求</x:v>
      </x:c>
      <x:c r="M134" s="26" t="str">
        <x:v>待实施</x:v>
      </x:c>
      <x:c r="N134" s="24" t="str"/>
      <x:c r="O134" s="24" t="str">
        <x:v>Design 1.0</x:v>
      </x:c>
    </x:row>
    <x:row r="135" ht="92" customHeight="1">
      <x:c r="A135" s="24" t="str">
        <x:v>J-07</x:v>
      </x:c>
      <x:c r="B135" s="24" t="str">
        <x:v>停止后续提交</x:v>
      </x:c>
      <x:c r="C135" s="24" t="str">
        <x:v>P06</x:v>
      </x:c>
      <x:c r="D135" s="24" t="str">
        <x:v>本轮主线</x:v>
      </x:c>
      <x:c r="E135" s="24" t="str">
        <x:v>T29</x:v>
      </x:c>
      <x:c r="F135" s="24" t="str">
        <x:v>AC-J-07</x:v>
      </x:c>
      <x:c r="G135" s="24" t="str">
        <x:v>tests/unit/run-queue.test.ts</x:v>
      </x:c>
      <x:c r="H135" s="24" t="str">
        <x:v>有批量执行</x:v>
      </x:c>
      <x:c r="I135" s="24" t="str">
        <x:v>剩余节点暂停，进行中不受影响</x:v>
      </x:c>
      <x:c r="J135" s="24" t="str">
        <x:v>不显示所有任务已取消</x:v>
      </x:c>
      <x:c r="K135" s="24" t="str">
        <x:v>保存队列</x:v>
      </x:c>
      <x:c r="L135" s="24" t="str">
        <x:v>无取消接口调用</x:v>
      </x:c>
      <x:c r="M135" s="26" t="str">
        <x:v>待实施</x:v>
      </x:c>
      <x:c r="N135" s="24" t="str"/>
      <x:c r="O135" s="24" t="str">
        <x:v>Design 1.0</x:v>
      </x:c>
    </x:row>
    <x:row r="136" ht="92" customHeight="1">
      <x:c r="A136" s="24" t="str">
        <x:v>J-08</x:v>
      </x:c>
      <x:c r="B136" s="24" t="str">
        <x:v>隐藏已完成记录</x:v>
      </x:c>
      <x:c r="C136" s="24" t="str">
        <x:v>P06</x:v>
      </x:c>
      <x:c r="D136" s="24" t="str">
        <x:v>本轮主线</x:v>
      </x:c>
      <x:c r="E136" s="24" t="str">
        <x:v>T34</x:v>
      </x:c>
      <x:c r="F136" s="24" t="str">
        <x:v>AC-J-08</x:v>
      </x:c>
      <x:c r="G136" s="24" t="str">
        <x:v>tests/e2e/task-center.spec.ts</x:v>
      </x:c>
      <x:c r="H136" s="24" t="str">
        <x:v>完成且无未知状态</x:v>
      </x:c>
      <x:c r="I136" s="24" t="str">
        <x:v>仅归档显示记录</x:v>
      </x:c>
      <x:c r="J136" s="24" t="str">
        <x:v>记录仍可在归档查找</x:v>
      </x:c>
      <x:c r="K136" s="24" t="str">
        <x:v>可逆</x:v>
      </x:c>
      <x:c r="L136" s="24" t="str">
        <x:v>本地，不计费</x:v>
      </x:c>
      <x:c r="M136" s="26" t="str">
        <x:v>待实施</x:v>
      </x:c>
      <x:c r="N136" s="24" t="str"/>
      <x:c r="O136" s="24" t="str">
        <x:v>Design 1.0</x:v>
      </x:c>
    </x:row>
    <x:row r="137" ht="92" customHeight="1">
      <x:c r="A137" s="24" t="str">
        <x:v>J-09</x:v>
      </x:c>
      <x:c r="B137" s="24" t="str">
        <x:v>导出任务记录</x:v>
      </x:c>
      <x:c r="C137" s="24" t="str">
        <x:v>P06</x:v>
      </x:c>
      <x:c r="D137" s="24" t="str">
        <x:v>本轮主线</x:v>
      </x:c>
      <x:c r="E137" s="24" t="str">
        <x:v>T34</x:v>
      </x:c>
      <x:c r="F137" s="24" t="str">
        <x:v>AC-J-09</x:v>
      </x:c>
      <x:c r="G137" s="24" t="str">
        <x:v>tests/e2e/task-center.spec.ts</x:v>
      </x:c>
      <x:c r="H137" s="24" t="str">
        <x:v>有记录</x:v>
      </x:c>
      <x:c r="I137" s="24" t="str">
        <x:v>脱敏CSV/JSON；包含taskId与结果状态</x:v>
      </x:c>
      <x:c r="J137" s="24" t="str">
        <x:v>不包含Key、下载token</x:v>
      </x:c>
      <x:c r="K137" s="24" t="str">
        <x:v>导出副本</x:v>
      </x:c>
      <x:c r="L137" s="24" t="str">
        <x:v>本地，不计费</x:v>
      </x:c>
      <x:c r="M137" s="26" t="str">
        <x:v>待实施</x:v>
      </x:c>
      <x:c r="N137" s="24" t="str"/>
      <x:c r="O137" s="24" t="str">
        <x:v>Design 1.0</x:v>
      </x:c>
    </x:row>
    <x:row r="138" ht="92" customHeight="1">
      <x:c r="A138" s="24" t="str">
        <x:v>J-10</x:v>
      </x:c>
      <x:c r="B138" s="24" t="str">
        <x:v>处理未知提交</x:v>
      </x:c>
      <x:c r="C138" s="24" t="str">
        <x:v>P06</x:v>
      </x:c>
      <x:c r="D138" s="24" t="str">
        <x:v>本轮主线</x:v>
      </x:c>
      <x:c r="E138" s="24" t="str">
        <x:v>T27</x:v>
      </x:c>
      <x:c r="F138" s="24" t="str">
        <x:v>AC-J-10</x:v>
      </x:c>
      <x:c r="G138" s="24" t="str">
        <x:v>tests/unit/video-submit.test.ts</x:v>
      </x:c>
      <x:c r="H138" s="24" t="str">
        <x:v>存在submit_unknown</x:v>
      </x:c>
      <x:c r="I138" s="24" t="str">
        <x:v>优先同幂等键同快照重放/查询受支持路径；不可换键</x:v>
      </x:c>
      <x:c r="J138" s="24" t="str">
        <x:v>无法验证则保留人工核对状态</x:v>
      </x:c>
      <x:c r="K138" s="24" t="str">
        <x:v>不丢持久run</x:v>
      </x:c>
      <x:c r="L138" s="24" t="str">
        <x:v>仅契约支持的幂等恢复</x:v>
      </x:c>
      <x:c r="M138" s="26" t="str">
        <x:v>待实施</x:v>
      </x:c>
      <x:c r="N138" s="24" t="str"/>
      <x:c r="O138" s="24" t="str">
        <x:v>Design 1.0</x:v>
      </x:c>
    </x:row>
    <x:row r="139" ht="92" customHeight="1">
      <x:c r="A139" s="24" t="str">
        <x:v>J-11</x:v>
      </x:c>
      <x:c r="B139" s="24" t="str">
        <x:v>补充原授权</x:v>
      </x:c>
      <x:c r="C139" s="24" t="str">
        <x:v>P06</x:v>
      </x:c>
      <x:c r="D139" s="24" t="str">
        <x:v>本轮主线</x:v>
      </x:c>
      <x:c r="E139" s="24" t="str">
        <x:v>T09</x:v>
      </x:c>
      <x:c r="F139" s="24" t="str">
        <x:v>AC-J-11</x:v>
      </x:c>
      <x:c r="G139" s="24" t="str">
        <x:v>tests/unit/credential-session.test.ts</x:v>
      </x:c>
      <x:c r="H139" s="24" t="str">
        <x:v>任务凭据缺失</x:v>
      </x:c>
      <x:c r="I139" s="24" t="str">
        <x:v>D12输入原Key并验证，不能自动换服务</x:v>
      </x:c>
      <x:c r="J139" s="24" t="str">
        <x:v>不同Key无法读任务则保留失败原因</x:v>
      </x:c>
      <x:c r="K139" s="24" t="str">
        <x:v>不重新绑定已有任务</x:v>
      </x:c>
      <x:c r="L139" s="24" t="str">
        <x:v>GET status仅校验</x:v>
      </x:c>
      <x:c r="M139" s="26" t="str">
        <x:v>待实施</x:v>
      </x:c>
      <x:c r="N139" s="24" t="str"/>
      <x:c r="O139" s="24" t="str">
        <x:v>Design 1.0</x:v>
      </x:c>
    </x:row>
    <x:row r="140" ht="92" customHeight="1">
      <x:c r="A140" s="24" t="str">
        <x:v>L-01</x:v>
      </x:c>
      <x:c r="B140" s="24" t="str">
        <x:v>新建提示词</x:v>
      </x:c>
      <x:c r="C140" s="24" t="str">
        <x:v>P05</x:v>
      </x:c>
      <x:c r="D140" s="24" t="str">
        <x:v>本轮主线</x:v>
      </x:c>
      <x:c r="E140" s="24" t="str">
        <x:v>T17</x:v>
      </x:c>
      <x:c r="F140" s="24" t="str">
        <x:v>AC-L-01</x:v>
      </x:c>
      <x:c r="G140" s="24" t="str">
        <x:v>tests/e2e/prompt-library.spec.ts</x:v>
      </x:c>
      <x:c r="H140" s="24" t="str">
        <x:v>本地可写</x:v>
      </x:c>
      <x:c r="I140" s="24" t="str">
        <x:v>填写名称、正文、标签与可选变量</x:v>
      </x:c>
      <x:c r="J140" s="24" t="str">
        <x:v>名称/正文为空禁止保存</x:v>
      </x:c>
      <x:c r="K140" s="24" t="str">
        <x:v>独立promptId</x:v>
      </x:c>
      <x:c r="L140" s="24" t="str">
        <x:v>本地，不计费</x:v>
      </x:c>
      <x:c r="M140" s="26" t="str">
        <x:v>待实施</x:v>
      </x:c>
      <x:c r="N140" s="24" t="str"/>
      <x:c r="O140" s="24" t="str">
        <x:v>Design 1.0</x:v>
      </x:c>
    </x:row>
    <x:row r="141" ht="92" customHeight="1">
      <x:c r="A141" s="24" t="str">
        <x:v>L-02</x:v>
      </x:c>
      <x:c r="B141" s="24" t="str">
        <x:v>编辑提示词</x:v>
      </x:c>
      <x:c r="C141" s="24" t="str">
        <x:v>P05</x:v>
      </x:c>
      <x:c r="D141" s="24" t="str">
        <x:v>本轮主线</x:v>
      </x:c>
      <x:c r="E141" s="24" t="str">
        <x:v>T17</x:v>
      </x:c>
      <x:c r="F141" s="24" t="str">
        <x:v>AC-L-02</x:v>
      </x:c>
      <x:c r="G141" s="24" t="str">
        <x:v>tests/e2e/prompt-library.spec.ts</x:v>
      </x:c>
      <x:c r="H141" s="24" t="str">
        <x:v>条目可写</x:v>
      </x:c>
      <x:c r="I141" s="24" t="str">
        <x:v>保存新revision，原模板引用不随动</x:v>
      </x:c>
      <x:c r="J141" s="24" t="str">
        <x:v>脏数据离开需确认</x:v>
      </x:c>
      <x:c r="K141" s="24" t="str">
        <x:v>可撤销或保留版本</x:v>
      </x:c>
      <x:c r="L141" s="24" t="str">
        <x:v>本地，不计费</x:v>
      </x:c>
      <x:c r="M141" s="26" t="str">
        <x:v>待实施</x:v>
      </x:c>
      <x:c r="N141" s="24" t="str"/>
      <x:c r="O141" s="24" t="str">
        <x:v>Design 1.0</x:v>
      </x:c>
    </x:row>
    <x:row r="142" ht="92" customHeight="1">
      <x:c r="A142" s="24" t="str">
        <x:v>L-03</x:v>
      </x:c>
      <x:c r="B142" s="24" t="str">
        <x:v>删除提示词</x:v>
      </x:c>
      <x:c r="C142" s="24" t="str">
        <x:v>P05</x:v>
      </x:c>
      <x:c r="D142" s="24" t="str">
        <x:v>本轮主线</x:v>
      </x:c>
      <x:c r="E142" s="24" t="str">
        <x:v>T17</x:v>
      </x:c>
      <x:c r="F142" s="24" t="str">
        <x:v>AC-L-03</x:v>
      </x:c>
      <x:c r="G142" s="24" t="str">
        <x:v>tests/e2e/prompt-library.spec.ts</x:v>
      </x:c>
      <x:c r="H142" s="24" t="str">
        <x:v>条目存在</x:v>
      </x:c>
      <x:c r="I142" s="24" t="str">
        <x:v>软删除；已插入文本保留</x:v>
      </x:c>
      <x:c r="J142" s="24" t="str">
        <x:v>被模板引用给影响说明</x:v>
      </x:c>
      <x:c r="K142" s="24" t="str">
        <x:v>可恢复</x:v>
      </x:c>
      <x:c r="L142" s="24" t="str">
        <x:v>本地，不计费</x:v>
      </x:c>
      <x:c r="M142" s="26" t="str">
        <x:v>待实施</x:v>
      </x:c>
      <x:c r="N142" s="24" t="str"/>
      <x:c r="O142" s="24" t="str">
        <x:v>Design 1.0</x:v>
      </x:c>
    </x:row>
    <x:row r="143" ht="92" customHeight="1">
      <x:c r="A143" s="24" t="str">
        <x:v>L-04</x:v>
      </x:c>
      <x:c r="B143" s="24" t="str">
        <x:v>收藏</x:v>
      </x:c>
      <x:c r="C143" s="24" t="str">
        <x:v>P05</x:v>
      </x:c>
      <x:c r="D143" s="24" t="str">
        <x:v>本轮主线</x:v>
      </x:c>
      <x:c r="E143" s="24" t="str">
        <x:v>T17</x:v>
      </x:c>
      <x:c r="F143" s="24" t="str">
        <x:v>AC-L-04</x:v>
      </x:c>
      <x:c r="G143" s="24" t="str">
        <x:v>tests/e2e/prompt-library.spec.ts</x:v>
      </x:c>
      <x:c r="H143" s="24" t="str">
        <x:v>条目存在</x:v>
      </x:c>
      <x:c r="I143" s="24" t="str">
        <x:v>切换星标</x:v>
      </x:c>
      <x:c r="J143" s="24" t="str">
        <x:v>写失败回滚</x:v>
      </x:c>
      <x:c r="K143" s="24" t="str">
        <x:v>可逆</x:v>
      </x:c>
      <x:c r="L143" s="24" t="str">
        <x:v>本地，不计费</x:v>
      </x:c>
      <x:c r="M143" s="26" t="str">
        <x:v>待实施</x:v>
      </x:c>
      <x:c r="N143" s="24" t="str"/>
      <x:c r="O143" s="24" t="str">
        <x:v>Design 1.0</x:v>
      </x:c>
    </x:row>
    <x:row r="144" ht="92" customHeight="1">
      <x:c r="A144" s="24" t="str">
        <x:v>L-05</x:v>
      </x:c>
      <x:c r="B144" s="24" t="str">
        <x:v>搜索/标签过滤</x:v>
      </x:c>
      <x:c r="C144" s="24" t="str">
        <x:v>P05</x:v>
      </x:c>
      <x:c r="D144" s="24" t="str">
        <x:v>本轮主线</x:v>
      </x:c>
      <x:c r="E144" s="24" t="str">
        <x:v>T17</x:v>
      </x:c>
      <x:c r="F144" s="24" t="str">
        <x:v>AC-L-05</x:v>
      </x:c>
      <x:c r="G144" s="24" t="str">
        <x:v>tests/e2e/prompt-library.spec.ts</x:v>
      </x:c>
      <x:c r="H144" s="24" t="str">
        <x:v>提示词页</x:v>
      </x:c>
      <x:c r="I144" s="24" t="str">
        <x:v>全文本地搜索，300ms去抖</x:v>
      </x:c>
      <x:c r="J144" s="24" t="str">
        <x:v>无结果给清空筛选</x:v>
      </x:c>
      <x:c r="K144" s="24" t="str">
        <x:v>不发送网络</x:v>
      </x:c>
      <x:c r="L144" s="24" t="str">
        <x:v>本地，不计费</x:v>
      </x:c>
      <x:c r="M144" s="26" t="str">
        <x:v>待实施</x:v>
      </x:c>
      <x:c r="N144" s="24" t="str"/>
      <x:c r="O144" s="24" t="str">
        <x:v>Design 1.0</x:v>
      </x:c>
    </x:row>
    <x:row r="145" ht="92" customHeight="1">
      <x:c r="A145" s="24" t="str">
        <x:v>L-06</x:v>
      </x:c>
      <x:c r="B145" s="24" t="str">
        <x:v>查看详情</x:v>
      </x:c>
      <x:c r="C145" s="24" t="str">
        <x:v>P05</x:v>
      </x:c>
      <x:c r="D145" s="24" t="str">
        <x:v>本轮主线</x:v>
      </x:c>
      <x:c r="E145" s="24" t="str">
        <x:v>T17</x:v>
      </x:c>
      <x:c r="F145" s="24" t="str">
        <x:v>AC-L-06</x:v>
      </x:c>
      <x:c r="G145" s="24" t="str">
        <x:v>tests/e2e/prompt-library.spec.ts</x:v>
      </x:c>
      <x:c r="H145" s="24" t="str">
        <x:v>条目存在</x:v>
      </x:c>
      <x:c r="I145" s="24" t="str">
        <x:v>显示正文、变量、来源/许可</x:v>
      </x:c>
      <x:c r="J145" s="24" t="str">
        <x:v>未知来源标示用户导入未核验</x:v>
      </x:c>
      <x:c r="K145" s="24" t="str">
        <x:v>只读</x:v>
      </x:c>
      <x:c r="L145" s="24" t="str">
        <x:v>本地，不计费</x:v>
      </x:c>
      <x:c r="M145" s="26" t="str">
        <x:v>待实施</x:v>
      </x:c>
      <x:c r="N145" s="24" t="str"/>
      <x:c r="O145" s="24" t="str">
        <x:v>Design 1.0</x:v>
      </x:c>
    </x:row>
    <x:row r="146" ht="92" customHeight="1">
      <x:c r="A146" s="24" t="str">
        <x:v>L-07</x:v>
      </x:c>
      <x:c r="B146" s="24" t="str">
        <x:v>复制提示词</x:v>
      </x:c>
      <x:c r="C146" s="24" t="str">
        <x:v>P05</x:v>
      </x:c>
      <x:c r="D146" s="24" t="str">
        <x:v>本轮主线</x:v>
      </x:c>
      <x:c r="E146" s="24" t="str">
        <x:v>T17</x:v>
      </x:c>
      <x:c r="F146" s="24" t="str">
        <x:v>AC-L-07</x:v>
      </x:c>
      <x:c r="G146" s="24" t="str">
        <x:v>tests/e2e/prompt-library.spec.ts</x:v>
      </x:c>
      <x:c r="H146" s="24" t="str">
        <x:v>正文可读</x:v>
      </x:c>
      <x:c r="I146" s="24" t="str">
        <x:v>变量未填写先进入填值对话框</x:v>
      </x:c>
      <x:c r="J146" s="24" t="str">
        <x:v>必填缺失禁止最终复制</x:v>
      </x:c>
      <x:c r="K146" s="24" t="str">
        <x:v>不修改源模板</x:v>
      </x:c>
      <x:c r="L146" s="24" t="str">
        <x:v>本地，不计费</x:v>
      </x:c>
      <x:c r="M146" s="26" t="str">
        <x:v>待实施</x:v>
      </x:c>
      <x:c r="N146" s="24" t="str"/>
      <x:c r="O146" s="24" t="str">
        <x:v>Design 1.0</x:v>
      </x:c>
    </x:row>
    <x:row r="147" ht="92" customHeight="1">
      <x:c r="A147" s="24" t="str">
        <x:v>L-08</x:v>
      </x:c>
      <x:c r="B147" s="24" t="str">
        <x:v>插入画布</x:v>
      </x:c>
      <x:c r="C147" s="24" t="str">
        <x:v>P05</x:v>
      </x:c>
      <x:c r="D147" s="24" t="str">
        <x:v>本轮主线</x:v>
      </x:c>
      <x:c r="E147" s="24" t="str">
        <x:v>T17</x:v>
      </x:c>
      <x:c r="F147" s="24" t="str">
        <x:v>AC-L-08</x:v>
      </x:c>
      <x:c r="G147" s="24" t="str">
        <x:v>tests/e2e/prompt-library.spec.ts</x:v>
      </x:c>
      <x:c r="H147" s="24" t="str">
        <x:v>选定目标项目</x:v>
      </x:c>
      <x:c r="I147" s="24" t="str">
        <x:v>变量填值后创建文本节点</x:v>
      </x:c>
      <x:c r="J147" s="24" t="str">
        <x:v>目标只读或不存在则选择新目标</x:v>
      </x:c>
      <x:c r="K147" s="24" t="str">
        <x:v>可撤销</x:v>
      </x:c>
      <x:c r="L147" s="24" t="str">
        <x:v>本地，不计费</x:v>
      </x:c>
      <x:c r="M147" s="26" t="str">
        <x:v>待实施</x:v>
      </x:c>
      <x:c r="N147" s="24" t="str"/>
      <x:c r="O147" s="24" t="str">
        <x:v>Design 1.0</x:v>
      </x:c>
    </x:row>
    <x:row r="148" ht="92" customHeight="1">
      <x:c r="A148" s="24" t="str">
        <x:v>L-09</x:v>
      </x:c>
      <x:c r="B148" s="24" t="str">
        <x:v>应用到当前文本</x:v>
      </x:c>
      <x:c r="C148" s="24" t="str">
        <x:v>P05</x:v>
      </x:c>
      <x:c r="D148" s="24" t="str">
        <x:v>本轮主线</x:v>
      </x:c>
      <x:c r="E148" s="24" t="str">
        <x:v>T17</x:v>
      </x:c>
      <x:c r="F148" s="24" t="str">
        <x:v>AC-L-09</x:v>
      </x:c>
      <x:c r="G148" s="24" t="str">
        <x:v>tests/e2e/prompt-library.spec.ts</x:v>
      </x:c>
      <x:c r="H148" s="24" t="str">
        <x:v>可编辑文本节点</x:v>
      </x:c>
      <x:c r="I148" s="24" t="str">
        <x:v>显示原文/新文diff，明确替换</x:v>
      </x:c>
      <x:c r="J148" s="24" t="str">
        <x:v>revision变化返回冲突</x:v>
      </x:c>
      <x:c r="K148" s="24" t="str">
        <x:v>可撤销</x:v>
      </x:c>
      <x:c r="L148" s="24" t="str">
        <x:v>本地，不计费</x:v>
      </x:c>
      <x:c r="M148" s="26" t="str">
        <x:v>待实施</x:v>
      </x:c>
      <x:c r="N148" s="24" t="str"/>
      <x:c r="O148" s="24" t="str">
        <x:v>Design 1.0</x:v>
      </x:c>
    </x:row>
    <x:row r="149" ht="92" customHeight="1">
      <x:c r="A149" s="24" t="str">
        <x:v>L-10</x:v>
      </x:c>
      <x:c r="B149" s="24" t="str">
        <x:v>导入JSON提示词</x:v>
      </x:c>
      <x:c r="C149" s="24" t="str">
        <x:v>P05</x:v>
      </x:c>
      <x:c r="D149" s="24" t="str">
        <x:v>本轮主线</x:v>
      </x:c>
      <x:c r="E149" s="24" t="str">
        <x:v>T17</x:v>
      </x:c>
      <x:c r="F149" s="24" t="str">
        <x:v>AC-L-10</x:v>
      </x:c>
      <x:c r="G149" s="24" t="str">
        <x:v>tests/e2e/prompt-library.spec.ts</x:v>
      </x:c>
      <x:c r="H149" s="24" t="str">
        <x:v>显式选文件</x:v>
      </x:c>
      <x:c r="I149" s="24" t="str">
        <x:v>校验schema，预览条目与来源后另存</x:v>
      </x:c>
      <x:c r="J149" s="24" t="str">
        <x:v>禁止HTML/脚本执行；同名不覆盖</x:v>
      </x:c>
      <x:c r="K149" s="24" t="str">
        <x:v>新ID，保留来源元数据</x:v>
      </x:c>
      <x:c r="L149" s="24" t="str">
        <x:v>本地，不计费</x:v>
      </x:c>
      <x:c r="M149" s="26" t="str">
        <x:v>待实施</x:v>
      </x:c>
      <x:c r="N149" s="24" t="str"/>
      <x:c r="O149" s="24" t="str">
        <x:v>Design 1.0</x:v>
      </x:c>
    </x:row>
    <x:row r="150" ht="92" customHeight="1">
      <x:c r="A150" s="24" t="str">
        <x:v>L-11</x:v>
      </x:c>
      <x:c r="B150" s="24" t="str">
        <x:v>导出提示词</x:v>
      </x:c>
      <x:c r="C150" s="24" t="str">
        <x:v>P05</x:v>
      </x:c>
      <x:c r="D150" s="24" t="str">
        <x:v>本轮主线</x:v>
      </x:c>
      <x:c r="E150" s="24" t="str">
        <x:v>T17</x:v>
      </x:c>
      <x:c r="F150" s="24" t="str">
        <x:v>AC-L-11</x:v>
      </x:c>
      <x:c r="G150" s="24" t="str">
        <x:v>tests/e2e/prompt-library.spec.ts</x:v>
      </x:c>
      <x:c r="H150" s="24" t="str">
        <x:v>有选择</x:v>
      </x:c>
      <x:c r="I150" s="24" t="str">
        <x:v>仅文本、变量、标签和来源</x:v>
      </x:c>
      <x:c r="J150" s="24" t="str">
        <x:v>不包含模型Key与内部提示</x:v>
      </x:c>
      <x:c r="K150" s="24" t="str">
        <x:v>导出副本</x:v>
      </x:c>
      <x:c r="L150" s="24" t="str">
        <x:v>本地，不计费</x:v>
      </x:c>
      <x:c r="M150" s="26" t="str">
        <x:v>待实施</x:v>
      </x:c>
      <x:c r="N150" s="24" t="str"/>
      <x:c r="O150" s="24" t="str">
        <x:v>Design 1.0</x:v>
      </x:c>
    </x:row>
    <x:row r="151" ht="92" customHeight="1">
      <x:c r="A151" s="24" t="str">
        <x:v>L-12</x:v>
      </x:c>
      <x:c r="B151" s="24" t="str">
        <x:v>来源管理</x:v>
      </x:c>
      <x:c r="C151" s="24" t="str">
        <x:v>P05</x:v>
      </x:c>
      <x:c r="D151" s="24" t="str">
        <x:v>本轮主线</x:v>
      </x:c>
      <x:c r="E151" s="24" t="str">
        <x:v>T17</x:v>
      </x:c>
      <x:c r="F151" s="24" t="str">
        <x:v>AC-L-12</x:v>
      </x:c>
      <x:c r="G151" s="24" t="str">
        <x:v>tests/e2e/prompt-library.spec.ts</x:v>
      </x:c>
      <x:c r="H151" s="24" t="str">
        <x:v>用户导入源存在</x:v>
      </x:c>
      <x:c r="I151" s="24" t="str">
        <x:v>查看/停用/移除来源缓存，不默认安装上游七个源</x:v>
      </x:c>
      <x:c r="J151" s="24" t="str">
        <x:v>删除源不删用户已另存文本</x:v>
      </x:c>
      <x:c r="K151" s="24" t="str">
        <x:v>保留必要出处和许可</x:v>
      </x:c>
      <x:c r="L151" s="24" t="str">
        <x:v>基础版无定时联网抓取</x:v>
      </x:c>
      <x:c r="M151" s="26" t="str">
        <x:v>待实施</x:v>
      </x:c>
      <x:c r="N151" s="24" t="str"/>
      <x:c r="O151" s="24" t="str">
        <x:v>Design 1.0</x:v>
      </x:c>
    </x:row>
    <x:row r="152" ht="92" customHeight="1">
      <x:c r="A152" s="24" t="str">
        <x:v>A-01</x:v>
      </x:c>
      <x:c r="B152" s="24" t="str">
        <x:v>连接本地Agent</x:v>
      </x:c>
      <x:c r="C152" s="24" t="str">
        <x:v>P09</x:v>
      </x:c>
      <x:c r="D152" s="24" t="str">
        <x:v>协作版：同机打开画布</x:v>
      </x:c>
      <x:c r="E152" s="24" t="str">
        <x:v>T39</x:v>
      </x:c>
      <x:c r="F152" s="24" t="str">
        <x:v>AC-A-01</x:v>
      </x:c>
      <x:c r="G152" s="24" t="str">
        <x:v>tests/unit/agent-relay.test.ts</x:v>
      </x:c>
      <x:c r="H152" s="24" t="str">
        <x:v>本地连接能力安装并允许</x:v>
      </x:c>
      <x:c r="I152" s="24" t="str">
        <x:v>填写回环地址和一次性token，验证来源</x:v>
      </x:c>
      <x:c r="J152" s="24" t="str">
        <x:v>失败不申请扩大系统权限</x:v>
      </x:c>
      <x:c r="K152" s="24" t="str">
        <x:v>token仅会话；不导出</x:v>
      </x:c>
      <x:c r="L152" s="24" t="str">
        <x:v>本地授权连接，不生成</x:v>
      </x:c>
      <x:c r="M152" s="26" t="str">
        <x:v>待实施</x:v>
      </x:c>
      <x:c r="N152" s="24" t="str"/>
      <x:c r="O152" s="24" t="str">
        <x:v>Design 1.0</x:v>
      </x:c>
    </x:row>
    <x:row r="153" ht="92" customHeight="1">
      <x:c r="A153" s="24" t="str">
        <x:v>A-02</x:v>
      </x:c>
      <x:c r="B153" s="24" t="str">
        <x:v>授予项目访问</x:v>
      </x:c>
      <x:c r="C153" s="24" t="str">
        <x:v>P09</x:v>
      </x:c>
      <x:c r="D153" s="24" t="str">
        <x:v>协作版：同机打开画布</x:v>
      </x:c>
      <x:c r="E153" s="24" t="str">
        <x:v>T39</x:v>
      </x:c>
      <x:c r="F153" s="24" t="str">
        <x:v>AC-A-02</x:v>
      </x:c>
      <x:c r="G153" s="24" t="str">
        <x:v>tests/unit/agent-relay.test.ts</x:v>
      </x:c>
      <x:c r="H153" s="24" t="str">
        <x:v>有效本地连接</x:v>
      </x:c>
      <x:c r="I153" s="24" t="str">
        <x:v>显示项目、选区、可读写范围和期限</x:v>
      </x:c>
      <x:c r="J153" s="24" t="str">
        <x:v>不同标签/项目不能复用越权授权</x:v>
      </x:c>
      <x:c r="K153" s="24" t="str">
        <x:v>授权记录与项目绑定</x:v>
      </x:c>
      <x:c r="L153" s="24" t="str">
        <x:v>无收费执行</x:v>
      </x:c>
      <x:c r="M153" s="26" t="str">
        <x:v>待实施</x:v>
      </x:c>
      <x:c r="N153" s="24" t="str"/>
      <x:c r="O153" s="24" t="str">
        <x:v>Design 1.0</x:v>
      </x:c>
    </x:row>
    <x:row r="154" ht="92" customHeight="1">
      <x:c r="A154" s="24" t="str">
        <x:v>A-03</x:v>
      </x:c>
      <x:c r="B154" s="24" t="str">
        <x:v>只读/建议修改权限</x:v>
      </x:c>
      <x:c r="C154" s="24" t="str">
        <x:v>P09</x:v>
      </x:c>
      <x:c r="D154" s="24" t="str">
        <x:v>协作版：同机打开画布</x:v>
      </x:c>
      <x:c r="E154" s="24" t="str">
        <x:v>T39</x:v>
      </x:c>
      <x:c r="F154" s="24" t="str">
        <x:v>AC-A-03</x:v>
      </x:c>
      <x:c r="G154" s="24" t="str">
        <x:v>tests/unit/agent-relay.test.ts</x:v>
      </x:c>
      <x:c r="H154" s="24" t="str">
        <x:v>用户可管理会话</x:v>
      </x:c>
      <x:c r="I154" s="24" t="str">
        <x:v>默认只读，允许建议不等于允许执行</x:v>
      </x:c>
      <x:c r="J154" s="24" t="str">
        <x:v>运行中降权立即生效</x:v>
      </x:c>
      <x:c r="K154" s="24" t="str">
        <x:v>会话权限</x:v>
      </x:c>
      <x:c r="L154" s="24" t="str">
        <x:v>无生成</x:v>
      </x:c>
      <x:c r="M154" s="26" t="str">
        <x:v>待实施</x:v>
      </x:c>
      <x:c r="N154" s="24" t="str"/>
      <x:c r="O154" s="24" t="str">
        <x:v>Design 1.0</x:v>
      </x:c>
    </x:row>
    <x:row r="155" ht="92" customHeight="1">
      <x:c r="A155" s="24" t="str">
        <x:v>A-04</x:v>
      </x:c>
      <x:c r="B155" s="24" t="str">
        <x:v>发送任务描述</x:v>
      </x:c>
      <x:c r="C155" s="24" t="str">
        <x:v>P09</x:v>
      </x:c>
      <x:c r="D155" s="24" t="str">
        <x:v>协作版：同机打开画布</x:v>
      </x:c>
      <x:c r="E155" s="24" t="str">
        <x:v>T42</x:v>
      </x:c>
      <x:c r="F155" s="24" t="str">
        <x:v>AC-A-04</x:v>
      </x:c>
      <x:c r="G155" s="24" t="str">
        <x:v>tests/e2e/agent-panel.spec.ts</x:v>
      </x:c>
      <x:c r="H155" s="24" t="str">
        <x:v>授权有效</x:v>
      </x:c>
      <x:c r="I155" s="24" t="str">
        <x:v>展示将发送的上下文摘要后发送</x:v>
      </x:c>
      <x:c r="J155" s="24" t="str">
        <x:v>未选区默认只发指令，不传全素材库</x:v>
      </x:c>
      <x:c r="K155" s="24" t="str">
        <x:v>会话记录脱敏保存</x:v>
      </x:c>
      <x:c r="L155" s="24" t="str">
        <x:v>Agent模型成本另计；不自动视频</x:v>
      </x:c>
      <x:c r="M155" s="26" t="str">
        <x:v>待实施</x:v>
      </x:c>
      <x:c r="N155" s="24" t="str"/>
      <x:c r="O155" s="24" t="str">
        <x:v>Design 1.0</x:v>
      </x:c>
    </x:row>
    <x:row r="156" ht="92" customHeight="1">
      <x:c r="A156" s="24" t="str">
        <x:v>A-05</x:v>
      </x:c>
      <x:c r="B156" s="24" t="str">
        <x:v>选择上下文</x:v>
      </x:c>
      <x:c r="C156" s="24" t="str">
        <x:v>P09</x:v>
      </x:c>
      <x:c r="D156" s="24" t="str">
        <x:v>协作版：同机打开画布</x:v>
      </x:c>
      <x:c r="E156" s="24" t="str">
        <x:v>T42</x:v>
      </x:c>
      <x:c r="F156" s="24" t="str">
        <x:v>AC-A-05</x:v>
      </x:c>
      <x:c r="G156" s="24" t="str">
        <x:v>tests/e2e/agent-panel.spec.ts</x:v>
      </x:c>
      <x:c r="H156" s="24" t="str">
        <x:v>项目打开</x:v>
      </x:c>
      <x:c r="I156" s="24" t="str">
        <x:v>选区/指定节点/整个项目三档，默认选区</x:v>
      </x:c>
      <x:c r="J156" s="24" t="str">
        <x:v>全项目须再次明确确认</x:v>
      </x:c>
      <x:c r="K156" s="24" t="str">
        <x:v>记录快照revision</x:v>
      </x:c>
      <x:c r="L156" s="24" t="str">
        <x:v>无自动请求</x:v>
      </x:c>
      <x:c r="M156" s="26" t="str">
        <x:v>待实施</x:v>
      </x:c>
      <x:c r="N156" s="24" t="str"/>
      <x:c r="O156" s="24" t="str">
        <x:v>Design 1.0</x:v>
      </x:c>
    </x:row>
    <x:row r="157" ht="92" customHeight="1">
      <x:c r="A157" s="24" t="str">
        <x:v>A-06</x:v>
      </x:c>
      <x:c r="B157" s="24" t="str">
        <x:v>查看修改提案</x:v>
      </x:c>
      <x:c r="C157" s="24" t="str">
        <x:v>P09</x:v>
      </x:c>
      <x:c r="D157" s="24" t="str">
        <x:v>协作版：同机打开画布</x:v>
      </x:c>
      <x:c r="E157" s="24" t="str">
        <x:v>T40</x:v>
      </x:c>
      <x:c r="F157" s="24" t="str">
        <x:v>AC-A-06</x:v>
      </x:c>
      <x:c r="G157" s="24" t="str">
        <x:v>tests/unit/agent-proposals.test.ts</x:v>
      </x:c>
      <x:c r="H157" s="24" t="str">
        <x:v>Agent返回结构化操作</x:v>
      </x:c>
      <x:c r="I157" s="24" t="str">
        <x:v>新增/删除/修改分色diff，未知操作拒绝</x:v>
      </x:c>
      <x:c r="J157" s="24" t="str">
        <x:v>提案不符合schema返回错误</x:v>
      </x:c>
      <x:c r="K157" s="24" t="str">
        <x:v>提案只读暂存</x:v>
      </x:c>
      <x:c r="L157" s="24" t="str">
        <x:v>不计费</x:v>
      </x:c>
      <x:c r="M157" s="26" t="str">
        <x:v>待实施</x:v>
      </x:c>
      <x:c r="N157" s="24" t="str"/>
      <x:c r="O157" s="24" t="str">
        <x:v>Design 1.0</x:v>
      </x:c>
    </x:row>
    <x:row r="158" ht="92" customHeight="1">
      <x:c r="A158" s="24" t="str">
        <x:v>A-07</x:v>
      </x:c>
      <x:c r="B158" s="24" t="str">
        <x:v>接受选中修改</x:v>
      </x:c>
      <x:c r="C158" s="24" t="str">
        <x:v>P09</x:v>
      </x:c>
      <x:c r="D158" s="24" t="str">
        <x:v>协作版：同机打开画布</x:v>
      </x:c>
      <x:c r="E158" s="24" t="str">
        <x:v>T40</x:v>
      </x:c>
      <x:c r="F158" s="24" t="str">
        <x:v>AC-A-07</x:v>
      </x:c>
      <x:c r="G158" s="24" t="str">
        <x:v>tests/unit/agent-proposals.test.ts</x:v>
      </x:c>
      <x:c r="H158" s="24" t="str">
        <x:v>提案有效且revision未变</x:v>
      </x:c>
      <x:c r="I158" s="24" t="str">
        <x:v>仅应用选中操作，执行按钮另点</x:v>
      </x:c>
      <x:c r="J158" s="24" t="str">
        <x:v>冲突不覆盖，重新读取</x:v>
      </x:c>
      <x:c r="K158" s="24" t="str">
        <x:v>可撤销纯编辑，写receipt</x:v>
      </x:c>
      <x:c r="L158" s="24" t="str">
        <x:v>本地，不生成</x:v>
      </x:c>
      <x:c r="M158" s="26" t="str">
        <x:v>待实施</x:v>
      </x:c>
      <x:c r="N158" s="24" t="str"/>
      <x:c r="O158" s="24" t="str">
        <x:v>Design 1.0</x:v>
      </x:c>
    </x:row>
    <x:row r="159" ht="92" customHeight="1">
      <x:c r="A159" s="24" t="str">
        <x:v>A-08</x:v>
      </x:c>
      <x:c r="B159" s="24" t="str">
        <x:v>拒绝修改</x:v>
      </x:c>
      <x:c r="C159" s="24" t="str">
        <x:v>P09</x:v>
      </x:c>
      <x:c r="D159" s="24" t="str">
        <x:v>协作版：同机打开画布</x:v>
      </x:c>
      <x:c r="E159" s="24" t="str">
        <x:v>T40</x:v>
      </x:c>
      <x:c r="F159" s="24" t="str">
        <x:v>AC-A-08</x:v>
      </x:c>
      <x:c r="G159" s="24" t="str">
        <x:v>tests/unit/agent-proposals.test.ts</x:v>
      </x:c>
      <x:c r="H159" s="24" t="str">
        <x:v>提案存在</x:v>
      </x:c>
      <x:c r="I159" s="24" t="str">
        <x:v>标记拒绝并保留摘要</x:v>
      </x:c>
      <x:c r="J159" s="24" t="str">
        <x:v>不改图</x:v>
      </x:c>
      <x:c r="K159" s="24" t="str">
        <x:v>记录决策</x:v>
      </x:c>
      <x:c r="L159" s="24" t="str">
        <x:v>本地，不计费</x:v>
      </x:c>
      <x:c r="M159" s="26" t="str">
        <x:v>待实施</x:v>
      </x:c>
      <x:c r="N159" s="24" t="str"/>
      <x:c r="O159" s="24" t="str">
        <x:v>Design 1.0</x:v>
      </x:c>
    </x:row>
    <x:row r="160" ht="92" customHeight="1">
      <x:c r="A160" s="24" t="str">
        <x:v>A-09</x:v>
      </x:c>
      <x:c r="B160" s="24" t="str">
        <x:v>全部接受</x:v>
      </x:c>
      <x:c r="C160" s="24" t="str">
        <x:v>P09</x:v>
      </x:c>
      <x:c r="D160" s="24" t="str">
        <x:v>协作版：同机打开画布</x:v>
      </x:c>
      <x:c r="E160" s="24" t="str">
        <x:v>T40</x:v>
      </x:c>
      <x:c r="F160" s="24" t="str">
        <x:v>AC-A-09</x:v>
      </x:c>
      <x:c r="G160" s="24" t="str">
        <x:v>tests/unit/agent-proposals.test.ts</x:v>
      </x:c>
      <x:c r="H160" s="24" t="str">
        <x:v>提案无冲突</x:v>
      </x:c>
      <x:c r="I160" s="24" t="str">
        <x:v>先显示删除数/改动数，再一次应用</x:v>
      </x:c>
      <x:c r="J160" s="24" t="str">
        <x:v>不能夹带网络/脚本/收费操作</x:v>
      </x:c>
      <x:c r="K160" s="24" t="str">
        <x:v>可撤销结构变更</x:v>
      </x:c>
      <x:c r="L160" s="24" t="str">
        <x:v>本地，不生成</x:v>
      </x:c>
      <x:c r="M160" s="26" t="str">
        <x:v>待实施</x:v>
      </x:c>
      <x:c r="N160" s="24" t="str"/>
      <x:c r="O160" s="24" t="str">
        <x:v>Design 1.0</x:v>
      </x:c>
    </x:row>
    <x:row r="161" ht="92" customHeight="1">
      <x:c r="A161" s="24" t="str">
        <x:v>A-10</x:v>
      </x:c>
      <x:c r="B161" s="24" t="str">
        <x:v>运行提案节点</x:v>
      </x:c>
      <x:c r="C161" s="24" t="str">
        <x:v>P09</x:v>
      </x:c>
      <x:c r="D161" s="24" t="str">
        <x:v>协作版：同机打开画布</x:v>
      </x:c>
      <x:c r="E161" s="24" t="str">
        <x:v>T41</x:v>
      </x:c>
      <x:c r="F161" s="24" t="str">
        <x:v>AC-A-10</x:v>
      </x:c>
      <x:c r="G161" s="24" t="str">
        <x:v>tests/unit/canvas-mcp.test.ts</x:v>
      </x:c>
      <x:c r="H161" s="24" t="str">
        <x:v>修改已接受且预检通过</x:v>
      </x:c>
      <x:c r="I161" s="24" t="str">
        <x:v>转D05收费执行确认</x:v>
      </x:c>
      <x:c r="J161" s="24" t="str">
        <x:v>不沿用旧的自动批准配置</x:v>
      </x:c>
      <x:c r="K161" s="24" t="str">
        <x:v>独立run审批</x:v>
      </x:c>
      <x:c r="L161" s="24" t="str">
        <x:v>Core收费路径</x:v>
      </x:c>
      <x:c r="M161" s="26" t="str">
        <x:v>待实施</x:v>
      </x:c>
      <x:c r="N161" s="24" t="str"/>
      <x:c r="O161" s="24" t="str">
        <x:v>Design 1.0</x:v>
      </x:c>
    </x:row>
    <x:row r="162" ht="92" customHeight="1">
      <x:c r="A162" s="24" t="str">
        <x:v>A-11</x:v>
      </x:c>
      <x:c r="B162" s="24" t="str">
        <x:v>停止当前Agent回合</x:v>
      </x:c>
      <x:c r="C162" s="24" t="str">
        <x:v>P09</x:v>
      </x:c>
      <x:c r="D162" s="24" t="str">
        <x:v>协作版：同机打开画布</x:v>
      </x:c>
      <x:c r="E162" s="24" t="str">
        <x:v>T42</x:v>
      </x:c>
      <x:c r="F162" s="24" t="str">
        <x:v>AC-A-11</x:v>
      </x:c>
      <x:c r="G162" s="24" t="str">
        <x:v>tests/e2e/agent-panel.spec.ts</x:v>
      </x:c>
      <x:c r="H162" s="24" t="str">
        <x:v>回合未结束</x:v>
      </x:c>
      <x:c r="I162" s="24" t="str">
        <x:v>请求停止对话；不取消Core视频</x:v>
      </x:c>
      <x:c r="J162" s="24" t="str">
        <x:v>本地Agent不支持停止时明确反馈</x:v>
      </x:c>
      <x:c r="K162" s="24" t="str">
        <x:v>保留已有提案</x:v>
      </x:c>
      <x:c r="L162" s="24" t="str">
        <x:v>不承诺退款</x:v>
      </x:c>
      <x:c r="M162" s="26" t="str">
        <x:v>待实施</x:v>
      </x:c>
      <x:c r="N162" s="24" t="str"/>
      <x:c r="O162" s="24" t="str">
        <x:v>Design 1.0</x:v>
      </x:c>
    </x:row>
    <x:row r="163" ht="92" customHeight="1">
      <x:c r="A163" s="24" t="str">
        <x:v>A-12</x:v>
      </x:c>
      <x:c r="B163" s="24" t="str">
        <x:v>断开并撤销授权</x:v>
      </x:c>
      <x:c r="C163" s="24" t="str">
        <x:v>P09</x:v>
      </x:c>
      <x:c r="D163" s="24" t="str">
        <x:v>协作版：同机打开画布</x:v>
      </x:c>
      <x:c r="E163" s="24" t="str">
        <x:v>T39</x:v>
      </x:c>
      <x:c r="F163" s="24" t="str">
        <x:v>AC-A-12</x:v>
      </x:c>
      <x:c r="G163" s="24" t="str">
        <x:v>tests/unit/agent-relay.test.ts</x:v>
      </x:c>
      <x:c r="H163" s="24" t="str">
        <x:v>会话存在</x:v>
      </x:c>
      <x:c r="I163" s="24" t="str">
        <x:v>撤销项目读写，关闭通道</x:v>
      </x:c>
      <x:c r="J163" s="24" t="str">
        <x:v>正在运行Core任务不受影响</x:v>
      </x:c>
      <x:c r="K163" s="24" t="str">
        <x:v>清内存token</x:v>
      </x:c>
      <x:c r="L163" s="24" t="str">
        <x:v>无生成</x:v>
      </x:c>
      <x:c r="M163" s="26" t="str">
        <x:v>待实施</x:v>
      </x:c>
      <x:c r="N163" s="24" t="str"/>
      <x:c r="O163" s="24" t="str">
        <x:v>Design 1.0</x:v>
      </x:c>
    </x:row>
    <x:row r="164" ht="92" customHeight="1">
      <x:c r="A164" s="24" t="str">
        <x:v>A-13</x:v>
      </x:c>
      <x:c r="B164" s="24" t="str">
        <x:v>新会话</x:v>
      </x:c>
      <x:c r="C164" s="24" t="str">
        <x:v>P09</x:v>
      </x:c>
      <x:c r="D164" s="24" t="str">
        <x:v>协作版：同机打开画布</x:v>
      </x:c>
      <x:c r="E164" s="24" t="str">
        <x:v>T42</x:v>
      </x:c>
      <x:c r="F164" s="24" t="str">
        <x:v>AC-A-13</x:v>
      </x:c>
      <x:c r="G164" s="24" t="str">
        <x:v>tests/e2e/agent-panel.spec.ts</x:v>
      </x:c>
      <x:c r="H164" s="24" t="str">
        <x:v>项目可读</x:v>
      </x:c>
      <x:c r="I164" s="24" t="str">
        <x:v>创建空对话，不清空画布</x:v>
      </x:c>
      <x:c r="J164" s="24" t="str">
        <x:v>旧未处理提案可返回</x:v>
      </x:c>
      <x:c r="K164" s="24" t="str">
        <x:v>保存会话索引</x:v>
      </x:c>
      <x:c r="L164" s="24" t="str">
        <x:v>无收费请求</x:v>
      </x:c>
      <x:c r="M164" s="26" t="str">
        <x:v>待实施</x:v>
      </x:c>
      <x:c r="N164" s="24" t="str"/>
      <x:c r="O164" s="24" t="str">
        <x:v>Design 1.0</x:v>
      </x:c>
    </x:row>
    <x:row r="165" ht="92" customHeight="1">
      <x:c r="A165" s="24" t="str">
        <x:v>A-14</x:v>
      </x:c>
      <x:c r="B165" s="24" t="str">
        <x:v>删除本地会话</x:v>
      </x:c>
      <x:c r="C165" s="24" t="str">
        <x:v>P09</x:v>
      </x:c>
      <x:c r="D165" s="24" t="str">
        <x:v>协作版：同机打开画布</x:v>
      </x:c>
      <x:c r="E165" s="24" t="str">
        <x:v>T42</x:v>
      </x:c>
      <x:c r="F165" s="24" t="str">
        <x:v>AC-A-14</x:v>
      </x:c>
      <x:c r="G165" s="24" t="str">
        <x:v>tests/e2e/agent-panel.spec.ts</x:v>
      </x:c>
      <x:c r="H165" s="24" t="str">
        <x:v>无未确认提案或确认放弃</x:v>
      </x:c>
      <x:c r="I165" s="24" t="str">
        <x:v>移除本地会话记录</x:v>
      </x:c>
      <x:c r="J165" s="24" t="str">
        <x:v>不声明清除远端模型记录</x:v>
      </x:c>
      <x:c r="K165" s="24" t="str">
        <x:v>不可撤销前确认</x:v>
      </x:c>
      <x:c r="L165" s="24" t="str">
        <x:v>本地，不计费</x:v>
      </x:c>
      <x:c r="M165" s="26" t="str">
        <x:v>待实施</x:v>
      </x:c>
      <x:c r="N165" s="24" t="str"/>
      <x:c r="O165" s="24" t="str">
        <x:v>Design 1.0</x:v>
      </x:c>
    </x:row>
    <x:row r="166" ht="92" customHeight="1">
      <x:c r="A166" s="24" t="str">
        <x:v>A-15</x:v>
      </x:c>
      <x:c r="B166" s="24" t="str">
        <x:v>查看Agent操作记录</x:v>
      </x:c>
      <x:c r="C166" s="24" t="str">
        <x:v>P09</x:v>
      </x:c>
      <x:c r="D166" s="24" t="str">
        <x:v>协作版：同机打开画布</x:v>
      </x:c>
      <x:c r="E166" s="24" t="str">
        <x:v>T42</x:v>
      </x:c>
      <x:c r="F166" s="24" t="str">
        <x:v>AC-A-15</x:v>
      </x:c>
      <x:c r="G166" s="24" t="str">
        <x:v>tests/e2e/agent-panel.spec.ts</x:v>
      </x:c>
      <x:c r="H166" s="24" t="str">
        <x:v>有日志</x:v>
      </x:c>
      <x:c r="I166" s="24" t="str">
        <x:v>显示指令、提案ID、批准、应用结果</x:v>
      </x:c>
      <x:c r="J166" s="24" t="str">
        <x:v>提示词正文可隐藏</x:v>
      </x:c>
      <x:c r="K166" s="24" t="str">
        <x:v>只读；非Core财务审计</x:v>
      </x:c>
      <x:c r="L166" s="24" t="str">
        <x:v>本地，不计费</x:v>
      </x:c>
      <x:c r="M166" s="26" t="str">
        <x:v>待实施</x:v>
      </x:c>
      <x:c r="N166" s="24" t="str"/>
      <x:c r="O166" s="24" t="str">
        <x:v>Design 1.0</x:v>
      </x:c>
    </x:row>
    <x:row r="167" ht="92" customHeight="1">
      <x:c r="A167" s="24" t="str">
        <x:v>A-16</x:v>
      </x:c>
      <x:c r="B167" s="24" t="str">
        <x:v>刷新冲突提案</x:v>
      </x:c>
      <x:c r="C167" s="24" t="str">
        <x:v>P09</x:v>
      </x:c>
      <x:c r="D167" s="24" t="str">
        <x:v>协作版：同机打开画布</x:v>
      </x:c>
      <x:c r="E167" s="24" t="str">
        <x:v>T40</x:v>
      </x:c>
      <x:c r="F167" s="24" t="str">
        <x:v>AC-A-16</x:v>
      </x:c>
      <x:c r="G167" s="24" t="str">
        <x:v>tests/unit/agent-proposals.test.ts</x:v>
      </x:c>
      <x:c r="H167" s="24" t="str">
        <x:v>版本冲突</x:v>
      </x:c>
      <x:c r="I167" s="24" t="str">
        <x:v>重新读取当前revision，请Agent重提而非覆盖</x:v>
      </x:c>
      <x:c r="J167" s="24" t="str">
        <x:v>网络失败原提案保留不可执行</x:v>
      </x:c>
      <x:c r="K167" s="24" t="str">
        <x:v>新提案ID</x:v>
      </x:c>
      <x:c r="L167" s="24" t="str">
        <x:v>可能Agent文字成本，需提示</x:v>
      </x:c>
      <x:c r="M167" s="26" t="str">
        <x:v>待实施</x:v>
      </x:c>
      <x:c r="N167" s="24" t="str"/>
      <x:c r="O167" s="24" t="str">
        <x:v>Design 1.0</x:v>
      </x:c>
    </x:row>
    <x:row r="168" ht="92" customHeight="1">
      <x:c r="A168" s="24" t="str">
        <x:v>K-01</x:v>
      </x:c>
      <x:c r="B168" s="24" t="str">
        <x:v>新增连接档案</x:v>
      </x:c>
      <x:c r="C168" s="24" t="str">
        <x:v>P10</x:v>
      </x:c>
      <x:c r="D168" s="24" t="str">
        <x:v>本轮主线</x:v>
      </x:c>
      <x:c r="E168" s="24" t="str">
        <x:v>T37</x:v>
      </x:c>
      <x:c r="F168" s="24" t="str">
        <x:v>AC-K-01</x:v>
      </x:c>
      <x:c r="G168" s="24" t="str">
        <x:v>tests/e2e/storage-settings.spec.ts</x:v>
      </x:c>
      <x:c r="H168" s="24" t="str">
        <x:v>本地可写</x:v>
      </x:c>
      <x:c r="I168" s="24" t="str">
        <x:v>新建名称/部署允许地址，不带默认供应商</x:v>
      </x:c>
      <x:c r="J168" s="24" t="str">
        <x:v>禁止任意代理目标；不接受URL内Key</x:v>
      </x:c>
      <x:c r="K168" s="24" t="str">
        <x:v>地址档案持久化，凭据内存</x:v>
      </x:c>
      <x:c r="L168" s="24" t="str">
        <x:v>无请求</x:v>
      </x:c>
      <x:c r="M168" s="26" t="str">
        <x:v>待实施</x:v>
      </x:c>
      <x:c r="N168" s="24" t="str"/>
      <x:c r="O168" s="24" t="str">
        <x:v>Design 1.0</x:v>
      </x:c>
    </x:row>
    <x:row r="169" ht="92" customHeight="1">
      <x:c r="A169" s="24" t="str">
        <x:v>K-02</x:v>
      </x:c>
      <x:c r="B169" s="24" t="str">
        <x:v>编辑地址/名称</x:v>
      </x:c>
      <x:c r="C169" s="24" t="str">
        <x:v>P10</x:v>
      </x:c>
      <x:c r="D169" s="24" t="str">
        <x:v>本轮主线</x:v>
      </x:c>
      <x:c r="E169" s="24" t="str">
        <x:v>T37</x:v>
      </x:c>
      <x:c r="F169" s="24" t="str">
        <x:v>AC-K-02</x:v>
      </x:c>
      <x:c r="G169" s="24" t="str">
        <x:v>tests/e2e/storage-settings.spec.ts</x:v>
      </x:c>
      <x:c r="H169" s="24" t="str">
        <x:v>档案存在</x:v>
      </x:c>
      <x:c r="I169" s="24" t="str">
        <x:v>改名称即时；改地址创建新connectionId</x:v>
      </x:c>
      <x:c r="J169" s="24" t="str">
        <x:v>旧任务保持旧绑定</x:v>
      </x:c>
      <x:c r="K169" s="24" t="str">
        <x:v>可撤销档案编辑</x:v>
      </x:c>
      <x:c r="L169" s="24" t="str">
        <x:v>无生成</x:v>
      </x:c>
      <x:c r="M169" s="26" t="str">
        <x:v>待实施</x:v>
      </x:c>
      <x:c r="N169" s="24" t="str"/>
      <x:c r="O169" s="24" t="str">
        <x:v>Design 1.0</x:v>
      </x:c>
    </x:row>
    <x:row r="170" ht="92" customHeight="1">
      <x:c r="A170" s="24" t="str">
        <x:v>K-03</x:v>
      </x:c>
      <x:c r="B170" s="24" t="str">
        <x:v>切换连接</x:v>
      </x:c>
      <x:c r="C170" s="24" t="str">
        <x:v>P10</x:v>
      </x:c>
      <x:c r="D170" s="24" t="str">
        <x:v>本轮主线</x:v>
      </x:c>
      <x:c r="E170" s="24" t="str">
        <x:v>T37</x:v>
      </x:c>
      <x:c r="F170" s="24" t="str">
        <x:v>AC-K-03</x:v>
      </x:c>
      <x:c r="G170" s="24" t="str">
        <x:v>tests/e2e/storage-settings.spec.ts</x:v>
      </x:c>
      <x:c r="H170" s="24" t="str">
        <x:v>至少两个档案</x:v>
      </x:c>
      <x:c r="I170" s="24" t="str">
        <x:v>影响新草稿，旧任务仍按原连接查</x:v>
      </x:c>
      <x:c r="J170" s="24" t="str">
        <x:v>活动队列暂停待确认</x:v>
      </x:c>
      <x:c r="K170" s="24" t="str">
        <x:v>保存默认选择</x:v>
      </x:c>
      <x:c r="L170" s="24" t="str">
        <x:v>不生成</x:v>
      </x:c>
      <x:c r="M170" s="26" t="str">
        <x:v>待实施</x:v>
      </x:c>
      <x:c r="N170" s="24" t="str"/>
      <x:c r="O170" s="24" t="str">
        <x:v>Design 1.0</x:v>
      </x:c>
    </x:row>
    <x:row r="171" ht="92" customHeight="1">
      <x:c r="A171" s="24" t="str">
        <x:v>K-04</x:v>
      </x:c>
      <x:c r="B171" s="24" t="str">
        <x:v>输入/更新Key</x:v>
      </x:c>
      <x:c r="C171" s="24" t="str">
        <x:v>P10</x:v>
      </x:c>
      <x:c r="D171" s="24" t="str">
        <x:v>本轮主线</x:v>
      </x:c>
      <x:c r="E171" s="24" t="str">
        <x:v>T09</x:v>
      </x:c>
      <x:c r="F171" s="24" t="str">
        <x:v>AC-K-04</x:v>
      </x:c>
      <x:c r="G171" s="24" t="str">
        <x:v>tests/unit/credential-session.test.ts</x:v>
      </x:c>
      <x:c r="H171" s="24" t="str">
        <x:v>普通客户端授权</x:v>
      </x:c>
      <x:c r="I171" s="24" t="str">
        <x:v>内存保存；用原任务读权限核对</x:v>
      </x:c>
      <x:c r="J171" s="24" t="str">
        <x:v>不能自动信任Key前缀代表身份</x:v>
      </x:c>
      <x:c r="K171" s="24" t="str">
        <x:v>会话内；不localStorage</x:v>
      </x:c>
      <x:c r="L171" s="24" t="str">
        <x:v>GET只读测试</x:v>
      </x:c>
      <x:c r="M171" s="26" t="str">
        <x:v>待实施</x:v>
      </x:c>
      <x:c r="N171" s="24" t="str"/>
      <x:c r="O171" s="24" t="str">
        <x:v>Design 1.0</x:v>
      </x:c>
    </x:row>
    <x:row r="172" ht="92" customHeight="1">
      <x:c r="A172" s="24" t="str">
        <x:v>K-05</x:v>
      </x:c>
      <x:c r="B172" s="24" t="str">
        <x:v>清除当前Key</x:v>
      </x:c>
      <x:c r="C172" s="24" t="str">
        <x:v>P10</x:v>
      </x:c>
      <x:c r="D172" s="24" t="str">
        <x:v>本轮主线</x:v>
      </x:c>
      <x:c r="E172" s="24" t="str">
        <x:v>T09</x:v>
      </x:c>
      <x:c r="F172" s="24" t="str">
        <x:v>AC-K-05</x:v>
      </x:c>
      <x:c r="G172" s="24" t="str">
        <x:v>tests/unit/credential-session.test.ts</x:v>
      </x:c>
      <x:c r="H172" s="24" t="str">
        <x:v>已连接</x:v>
      </x:c>
      <x:c r="I172" s="24" t="str">
        <x:v>停止新提交与本页轮询；留项目</x:v>
      </x:c>
      <x:c r="J172" s="24" t="str">
        <x:v>提醒远端任务可能继续</x:v>
      </x:c>
      <x:c r="K172" s="24" t="str">
        <x:v>清内存，不删除任务</x:v>
      </x:c>
      <x:c r="L172" s="24" t="str">
        <x:v>无请求</x:v>
      </x:c>
      <x:c r="M172" s="26" t="str">
        <x:v>待实施</x:v>
      </x:c>
      <x:c r="N172" s="24" t="str"/>
      <x:c r="O172" s="24" t="str">
        <x:v>Design 1.0</x:v>
      </x:c>
    </x:row>
    <x:row r="173" ht="92" customHeight="1">
      <x:c r="A173" s="24" t="str">
        <x:v>K-06</x:v>
      </x:c>
      <x:c r="B173" s="24" t="str">
        <x:v>删除连接档案</x:v>
      </x:c>
      <x:c r="C173" s="24" t="str">
        <x:v>P10</x:v>
      </x:c>
      <x:c r="D173" s="24" t="str">
        <x:v>本轮主线</x:v>
      </x:c>
      <x:c r="E173" s="24" t="str">
        <x:v>T37</x:v>
      </x:c>
      <x:c r="F173" s="24" t="str">
        <x:v>AC-K-06</x:v>
      </x:c>
      <x:c r="G173" s="24" t="str">
        <x:v>tests/e2e/storage-settings.spec.ts</x:v>
      </x:c>
      <x:c r="H173" s="24" t="str">
        <x:v>没有不可迁移活动追踪或确认保留只读副本</x:v>
      </x:c>
      <x:c r="I173" s="24" t="str">
        <x:v>移除新建入口，旧run保留地址绑定</x:v>
      </x:c>
      <x:c r="J173" s="24" t="str">
        <x:v>不可擦掉唯一任务追踪资料</x:v>
      </x:c>
      <x:c r="K173" s="24" t="str">
        <x:v>可恢复脱敏档案</x:v>
      </x:c>
      <x:c r="L173" s="24" t="str">
        <x:v>本地，不计费</x:v>
      </x:c>
      <x:c r="M173" s="26" t="str">
        <x:v>待实施</x:v>
      </x:c>
      <x:c r="N173" s="24" t="str"/>
      <x:c r="O173" s="24" t="str">
        <x:v>Design 1.0</x:v>
      </x:c>
    </x:row>
    <x:row r="174" ht="92" customHeight="1">
      <x:c r="A174" s="24" t="str">
        <x:v>K-07</x:v>
      </x:c>
      <x:c r="B174" s="24" t="str">
        <x:v>测试连接</x:v>
      </x:c>
      <x:c r="C174" s="24" t="str">
        <x:v>P10</x:v>
      </x:c>
      <x:c r="D174" s="24" t="str">
        <x:v>本轮主线</x:v>
      </x:c>
      <x:c r="E174" s="24" t="str">
        <x:v>T24</x:v>
      </x:c>
      <x:c r="F174" s="24" t="str">
        <x:v>AC-K-07</x:v>
      </x:c>
      <x:c r="G174" s="24" t="str">
        <x:v>tests/unit/core-transport.test.ts</x:v>
      </x:c>
      <x:c r="H174" s="24" t="str">
        <x:v>地址合法Key非空</x:v>
      </x:c>
      <x:c r="I174" s="24" t="str">
        <x:v>验证健康及模型接口，只读</x:v>
      </x:c>
      <x:c r="J174" s="24" t="str">
        <x:v>显示HTTP与脱敏错误</x:v>
      </x:c>
      <x:c r="K174" s="24" t="str">
        <x:v>不把模型可见等同scope可用</x:v>
      </x:c>
      <x:c r="L174" s="24" t="str">
        <x:v>GET health/models</x:v>
      </x:c>
      <x:c r="M174" s="26" t="str">
        <x:v>待实施</x:v>
      </x:c>
      <x:c r="N174" s="24" t="str"/>
      <x:c r="O174" s="24" t="str">
        <x:v>Design 1.0</x:v>
      </x:c>
    </x:row>
    <x:row r="175" ht="92" customHeight="1">
      <x:c r="A175" s="24" t="str">
        <x:v>K-08</x:v>
      </x:c>
      <x:c r="B175" s="24" t="str">
        <x:v>刷新模型列表</x:v>
      </x:c>
      <x:c r="C175" s="24" t="str">
        <x:v>P10</x:v>
      </x:c>
      <x:c r="D175" s="24" t="str">
        <x:v>本轮主线</x:v>
      </x:c>
      <x:c r="E175" s="24" t="str">
        <x:v>T23</x:v>
      </x:c>
      <x:c r="F175" s="24" t="str">
        <x:v>AC-K-08</x:v>
      </x:c>
      <x:c r="G175" s="24" t="str">
        <x:v>tests/unit/core-contract.test.ts</x:v>
      </x:c>
      <x:c r="H175" s="24" t="str">
        <x:v>已连接</x:v>
      </x:c>
      <x:c r="I175" s="24" t="str">
        <x:v>保留已选旧模型为失效项，下载新目录</x:v>
      </x:c>
      <x:c r="J175" s="24" t="str">
        <x:v>失败保留上次缓存且标过期</x:v>
      </x:c>
      <x:c r="K175" s="24" t="str">
        <x:v>目录缓存版本化</x:v>
      </x:c>
      <x:c r="L175" s="24" t="str">
        <x:v>GET /v1/models</x:v>
      </x:c>
      <x:c r="M175" s="26" t="str">
        <x:v>待实施</x:v>
      </x:c>
      <x:c r="N175" s="24" t="str"/>
      <x:c r="O175" s="24" t="str">
        <x:v>Design 1.0</x:v>
      </x:c>
    </x:row>
    <x:row r="176" ht="92" customHeight="1">
      <x:c r="A176" s="24" t="str">
        <x:v>K-09</x:v>
      </x:c>
      <x:c r="B176" s="24" t="str">
        <x:v>复制连接地址</x:v>
      </x:c>
      <x:c r="C176" s="24" t="str">
        <x:v>P10</x:v>
      </x:c>
      <x:c r="D176" s="24" t="str">
        <x:v>本轮主线</x:v>
      </x:c>
      <x:c r="E176" s="24" t="str">
        <x:v>T37</x:v>
      </x:c>
      <x:c r="F176" s="24" t="str">
        <x:v>AC-K-09</x:v>
      </x:c>
      <x:c r="G176" s="24" t="str">
        <x:v>tests/e2e/storage-settings.spec.ts</x:v>
      </x:c>
      <x:c r="H176" s="24" t="str">
        <x:v>档案存在</x:v>
      </x:c>
      <x:c r="I176" s="24" t="str">
        <x:v>仅复制公开地址，不含Key</x:v>
      </x:c>
      <x:c r="J176" s="24" t="str">
        <x:v>剪贴板失败可手选</x:v>
      </x:c>
      <x:c r="K176" s="24" t="str">
        <x:v>无写入</x:v>
      </x:c>
      <x:c r="L176" s="24" t="str">
        <x:v>本地，不计费</x:v>
      </x:c>
      <x:c r="M176" s="26" t="str">
        <x:v>待实施</x:v>
      </x:c>
      <x:c r="N176" s="24" t="str"/>
      <x:c r="O176" s="24" t="str">
        <x:v>Design 1.0</x:v>
      </x:c>
    </x:row>
    <x:row r="177" ht="92" customHeight="1">
      <x:c r="A177" s="24" t="str">
        <x:v>K-10</x:v>
      </x:c>
      <x:c r="B177" s="24" t="str">
        <x:v>导出连接配置</x:v>
      </x:c>
      <x:c r="C177" s="24" t="str">
        <x:v>P10</x:v>
      </x:c>
      <x:c r="D177" s="24" t="str">
        <x:v>本轮主线</x:v>
      </x:c>
      <x:c r="E177" s="24" t="str">
        <x:v>T37</x:v>
      </x:c>
      <x:c r="F177" s="24" t="str">
        <x:v>AC-K-10</x:v>
      </x:c>
      <x:c r="G177" s="24" t="str">
        <x:v>tests/e2e/storage-settings.spec.ts</x:v>
      </x:c>
      <x:c r="H177" s="24" t="str">
        <x:v>有档案</x:v>
      </x:c>
      <x:c r="I177" s="24" t="str">
        <x:v>名称、地址、参数偏好，不含Key/Token</x:v>
      </x:c>
      <x:c r="J177" s="24" t="str">
        <x:v>敏感字段扫描失败阻止导出</x:v>
      </x:c>
      <x:c r="K177" s="24" t="str">
        <x:v>导出副本</x:v>
      </x:c>
      <x:c r="L177" s="24" t="str">
        <x:v>本地，不计费</x:v>
      </x:c>
      <x:c r="M177" s="26" t="str">
        <x:v>待实施</x:v>
      </x:c>
      <x:c r="N177" s="24" t="str"/>
      <x:c r="O177" s="24" t="str">
        <x:v>Design 1.0</x:v>
      </x:c>
    </x:row>
    <x:row r="178" ht="92" customHeight="1">
      <x:c r="A178" s="24" t="str">
        <x:v>B-01</x:v>
      </x:c>
      <x:c r="B178" s="24" t="str">
        <x:v>选择默认文字模型</x:v>
      </x:c>
      <x:c r="C178" s="24" t="str">
        <x:v>P11</x:v>
      </x:c>
      <x:c r="D178" s="24" t="str">
        <x:v>本轮主线</x:v>
      </x:c>
      <x:c r="E178" s="24" t="str">
        <x:v>T30</x:v>
      </x:c>
      <x:c r="F178" s="24" t="str">
        <x:v>AC-B-01</x:v>
      </x:c>
      <x:c r="G178" s="24" t="str">
        <x:v>tests/unit/text-optimization.test.ts</x:v>
      </x:c>
      <x:c r="H178" s="24" t="str">
        <x:v>已验证文字契约</x:v>
      </x:c>
      <x:c r="I178" s="24" t="str">
        <x:v>更新新文本任务默认值</x:v>
      </x:c>
      <x:c r="J178" s="24" t="str">
        <x:v>不能自动改变已有节点</x:v>
      </x:c>
      <x:c r="K178" s="24" t="str">
        <x:v>偏好保存</x:v>
      </x:c>
      <x:c r="L178" s="24" t="str">
        <x:v>无生成</x:v>
      </x:c>
      <x:c r="M178" s="26" t="str">
        <x:v>待实施</x:v>
      </x:c>
      <x:c r="N178" s="24" t="str"/>
      <x:c r="O178" s="24" t="str">
        <x:v>Design 1.0</x:v>
      </x:c>
    </x:row>
    <x:row r="179" ht="92" customHeight="1">
      <x:c r="A179" s="24" t="str">
        <x:v>B-02</x:v>
      </x:c>
      <x:c r="B179" s="24" t="str">
        <x:v>选择默认视频模型</x:v>
      </x:c>
      <x:c r="C179" s="24" t="str">
        <x:v>P11</x:v>
      </x:c>
      <x:c r="D179" s="24" t="str">
        <x:v>本轮主线</x:v>
      </x:c>
      <x:c r="E179" s="24" t="str">
        <x:v>T37</x:v>
      </x:c>
      <x:c r="F179" s="24" t="str">
        <x:v>AC-B-02</x:v>
      </x:c>
      <x:c r="G179" s="24" t="str">
        <x:v>tests/e2e/storage-settings.spec.ts</x:v>
      </x:c>
      <x:c r="H179" s="24" t="str">
        <x:v>已验证视频契约</x:v>
      </x:c>
      <x:c r="I179" s="24" t="str">
        <x:v>更新新视频节点默认值</x:v>
      </x:c>
      <x:c r="J179" s="24" t="str">
        <x:v>旧模型失效须用户替换</x:v>
      </x:c>
      <x:c r="K179" s="24" t="str">
        <x:v>偏好保存</x:v>
      </x:c>
      <x:c r="L179" s="24" t="str">
        <x:v>无生成</x:v>
      </x:c>
      <x:c r="M179" s="26" t="str">
        <x:v>待实施</x:v>
      </x:c>
      <x:c r="N179" s="24" t="str"/>
      <x:c r="O179" s="24" t="str">
        <x:v>Design 1.0</x:v>
      </x:c>
    </x:row>
    <x:row r="180" ht="92" customHeight="1">
      <x:c r="A180" s="24" t="str">
        <x:v>B-03</x:v>
      </x:c>
      <x:c r="B180" s="24" t="str">
        <x:v>查看能力详情</x:v>
      </x:c>
      <x:c r="C180" s="24" t="str">
        <x:v>P11</x:v>
      </x:c>
      <x:c r="D180" s="24" t="str">
        <x:v>本轮主线</x:v>
      </x:c>
      <x:c r="E180" s="24" t="str">
        <x:v>T23</x:v>
      </x:c>
      <x:c r="F180" s="24" t="str">
        <x:v>AC-B-03</x:v>
      </x:c>
      <x:c r="G180" s="24" t="str">
        <x:v>tests/unit/core-contract.test.ts</x:v>
      </x:c>
      <x:c r="H180" s="24" t="str">
        <x:v>能力条目存在</x:v>
      </x:c>
      <x:c r="I180" s="24" t="str">
        <x:v>显示证据来源/协议版本/最近验证时间</x:v>
      </x:c>
      <x:c r="J180" s="24" t="str">
        <x:v>未核验显示未知</x:v>
      </x:c>
      <x:c r="K180" s="24" t="str">
        <x:v>只读</x:v>
      </x:c>
      <x:c r="L180" s="24" t="str">
        <x:v>无生成</x:v>
      </x:c>
      <x:c r="M180" s="26" t="str">
        <x:v>待实施</x:v>
      </x:c>
      <x:c r="N180" s="24" t="str"/>
      <x:c r="O180" s="24" t="str">
        <x:v>Design 1.0</x:v>
      </x:c>
    </x:row>
    <x:row r="181" ht="92" customHeight="1">
      <x:c r="A181" s="24" t="str">
        <x:v>B-04</x:v>
      </x:c>
      <x:c r="B181" s="24" t="str">
        <x:v>显示未开放功能</x:v>
      </x:c>
      <x:c r="C181" s="24" t="str">
        <x:v>P11</x:v>
      </x:c>
      <x:c r="D181" s="24" t="str">
        <x:v>本轮主线</x:v>
      </x:c>
      <x:c r="E181" s="24" t="str">
        <x:v>T43</x:v>
      </x:c>
      <x:c r="F181" s="24" t="str">
        <x:v>AC-B-04</x:v>
      </x:c>
      <x:c r="G181" s="24" t="str">
        <x:v>tests/unit/optional-capabilities.test.ts</x:v>
      </x:c>
      <x:c r="H181" s="24" t="str">
        <x:v>设置页</x:v>
      </x:c>
      <x:c r="I181" s="24" t="str">
        <x:v>解释生图/音频/取消/余额缺什么接口</x:v>
      </x:c>
      <x:c r="J181" s="24" t="str">
        <x:v>不能出现可执行假按钮</x:v>
      </x:c>
      <x:c r="K181" s="24" t="str">
        <x:v>UI偏好</x:v>
      </x:c>
      <x:c r="L181" s="24" t="str">
        <x:v>无生成</x:v>
      </x:c>
      <x:c r="M181" s="26" t="str">
        <x:v>待实施</x:v>
      </x:c>
      <x:c r="N181" s="24" t="str"/>
      <x:c r="O181" s="24" t="str">
        <x:v>Design 1.0</x:v>
      </x:c>
    </x:row>
    <x:row r="182" ht="92" customHeight="1">
      <x:c r="A182" s="24" t="str">
        <x:v>B-05</x:v>
      </x:c>
      <x:c r="B182" s="24" t="str">
        <x:v>刷新能力状态</x:v>
      </x:c>
      <x:c r="C182" s="24" t="str">
        <x:v>P11</x:v>
      </x:c>
      <x:c r="D182" s="24" t="str">
        <x:v>本轮主线</x:v>
      </x:c>
      <x:c r="E182" s="24" t="str">
        <x:v>T23</x:v>
      </x:c>
      <x:c r="F182" s="24" t="str">
        <x:v>AC-B-05</x:v>
      </x:c>
      <x:c r="G182" s="24" t="str">
        <x:v>tests/unit/core-contract.test.ts</x:v>
      </x:c>
      <x:c r="H182" s="24" t="str">
        <x:v>有公共能力接口或部署契约</x:v>
      </x:c>
      <x:c r="I182" s="24" t="str">
        <x:v>合并目录与版本化契约，不把管理员接口放前端</x:v>
      </x:c>
      <x:c r="J182" s="24" t="str">
        <x:v>无法核验保持未知</x:v>
      </x:c>
      <x:c r="K182" s="24" t="str">
        <x:v>缓存版本</x:v>
      </x:c>
      <x:c r="L182" s="24" t="str">
        <x:v>只读；无自发收费试探</x:v>
      </x:c>
      <x:c r="M182" s="26" t="str">
        <x:v>待实施</x:v>
      </x:c>
      <x:c r="N182" s="24" t="str"/>
      <x:c r="O182" s="24" t="str">
        <x:v>Design 1.0</x:v>
      </x:c>
    </x:row>
    <x:row r="183" ht="92" customHeight="1">
      <x:c r="A183" s="24" t="str">
        <x:v>B-06</x:v>
      </x:c>
      <x:c r="B183" s="24" t="str">
        <x:v>修改默认参数</x:v>
      </x:c>
      <x:c r="C183" s="24" t="str">
        <x:v>P11</x:v>
      </x:c>
      <x:c r="D183" s="24" t="str">
        <x:v>本轮主线</x:v>
      </x:c>
      <x:c r="E183" s="24" t="str">
        <x:v>T37</x:v>
      </x:c>
      <x:c r="F183" s="24" t="str">
        <x:v>AC-B-06</x:v>
      </x:c>
      <x:c r="G183" s="24" t="str">
        <x:v>tests/e2e/storage-settings.spec.ts</x:v>
      </x:c>
      <x:c r="H183" s="24" t="str">
        <x:v>有受支持参数</x:v>
      </x:c>
      <x:c r="I183" s="24" t="str">
        <x:v>新建节点使用；已有节点需手动应用</x:v>
      </x:c>
      <x:c r="J183" s="24" t="str">
        <x:v>无效组合即时提示</x:v>
      </x:c>
      <x:c r="K183" s="24" t="str">
        <x:v>可恢复默认</x:v>
      </x:c>
      <x:c r="L183" s="24" t="str">
        <x:v>无生成</x:v>
      </x:c>
      <x:c r="M183" s="26" t="str">
        <x:v>待实施</x:v>
      </x:c>
      <x:c r="N183" s="24" t="str"/>
      <x:c r="O183" s="24" t="str">
        <x:v>Design 1.0</x:v>
      </x:c>
    </x:row>
    <x:row r="184" ht="92" customHeight="1">
      <x:c r="A184" s="24" t="str">
        <x:v>S-01</x:v>
      </x:c>
      <x:c r="B184" s="24" t="str">
        <x:v>主题切换</x:v>
      </x:c>
      <x:c r="C184" s="24" t="str">
        <x:v>P12</x:v>
      </x:c>
      <x:c r="D184" s="24" t="str">
        <x:v>本轮主线</x:v>
      </x:c>
      <x:c r="E184" s="24" t="str">
        <x:v>T37</x:v>
      </x:c>
      <x:c r="F184" s="24" t="str">
        <x:v>AC-S-01</x:v>
      </x:c>
      <x:c r="G184" s="24" t="str">
        <x:v>tests/e2e/storage-settings.spec.ts</x:v>
      </x:c>
      <x:c r="H184" s="24" t="str">
        <x:v>设置页</x:v>
      </x:c>
      <x:c r="I184" s="24" t="str">
        <x:v>深色/浅色/跟随系统即时预览</x:v>
      </x:c>
      <x:c r="J184" s="24" t="str">
        <x:v>保存失败提示，但可继续当前会话</x:v>
      </x:c>
      <x:c r="K184" s="24" t="str">
        <x:v>本地偏好</x:v>
      </x:c>
      <x:c r="L184" s="24" t="str">
        <x:v>本地，不计费</x:v>
      </x:c>
      <x:c r="M184" s="26" t="str">
        <x:v>待实施</x:v>
      </x:c>
      <x:c r="N184" s="24" t="str"/>
      <x:c r="O184" s="24" t="str">
        <x:v>Design 1.0</x:v>
      </x:c>
    </x:row>
    <x:row r="185" ht="92" customHeight="1">
      <x:c r="A185" s="24" t="str">
        <x:v>S-02</x:v>
      </x:c>
      <x:c r="B185" s="24" t="str">
        <x:v>界面密度</x:v>
      </x:c>
      <x:c r="C185" s="24" t="str">
        <x:v>P12</x:v>
      </x:c>
      <x:c r="D185" s="24" t="str">
        <x:v>本轮主线</x:v>
      </x:c>
      <x:c r="E185" s="24" t="str">
        <x:v>T37</x:v>
      </x:c>
      <x:c r="F185" s="24" t="str">
        <x:v>AC-S-02</x:v>
      </x:c>
      <x:c r="G185" s="24" t="str">
        <x:v>tests/e2e/storage-settings.spec.ts</x:v>
      </x:c>
      <x:c r="H185" s="24" t="str">
        <x:v>设置页</x:v>
      </x:c>
      <x:c r="I185" s="24" t="str">
        <x:v>舒适/紧凑，命中区保持最小尺寸</x:v>
      </x:c>
      <x:c r="J185" s="24" t="str">
        <x:v>不压缩正文到不可读</x:v>
      </x:c>
      <x:c r="K185" s="24" t="str">
        <x:v>本地偏好</x:v>
      </x:c>
      <x:c r="L185" s="24" t="str">
        <x:v>本地，不计费</x:v>
      </x:c>
      <x:c r="M185" s="26" t="str">
        <x:v>待实施</x:v>
      </x:c>
      <x:c r="N185" s="24" t="str"/>
      <x:c r="O185" s="24" t="str">
        <x:v>Design 1.0</x:v>
      </x:c>
    </x:row>
    <x:row r="186" ht="92" customHeight="1">
      <x:c r="A186" s="24" t="str">
        <x:v>S-03</x:v>
      </x:c>
      <x:c r="B186" s="24" t="str">
        <x:v>自动播放</x:v>
      </x:c>
      <x:c r="C186" s="24" t="str">
        <x:v>P12</x:v>
      </x:c>
      <x:c r="D186" s="24" t="str">
        <x:v>本轮主线</x:v>
      </x:c>
      <x:c r="E186" s="24" t="str">
        <x:v>T37</x:v>
      </x:c>
      <x:c r="F186" s="24" t="str">
        <x:v>AC-S-03</x:v>
      </x:c>
      <x:c r="G186" s="24" t="str">
        <x:v>tests/e2e/storage-settings.spec.ts</x:v>
      </x:c>
      <x:c r="H186" s="24" t="str">
        <x:v>默认关闭</x:v>
      </x:c>
      <x:c r="I186" s="24" t="str">
        <x:v>只影响主动进入预览后的策略</x:v>
      </x:c>
      <x:c r="J186" s="24" t="str">
        <x:v>浏览器禁止时仍显示播放按钮</x:v>
      </x:c>
      <x:c r="K186" s="24" t="str">
        <x:v>本地偏好</x:v>
      </x:c>
      <x:c r="L186" s="24" t="str">
        <x:v>本地，不计费</x:v>
      </x:c>
      <x:c r="M186" s="26" t="str">
        <x:v>待实施</x:v>
      </x:c>
      <x:c r="N186" s="24" t="str"/>
      <x:c r="O186" s="24" t="str">
        <x:v>Design 1.0</x:v>
      </x:c>
    </x:row>
    <x:row r="187" ht="92" customHeight="1">
      <x:c r="A187" s="24" t="str">
        <x:v>S-04</x:v>
      </x:c>
      <x:c r="B187" s="24" t="str">
        <x:v>减少动画</x:v>
      </x:c>
      <x:c r="C187" s="24" t="str">
        <x:v>P12</x:v>
      </x:c>
      <x:c r="D187" s="24" t="str">
        <x:v>本轮主线</x:v>
      </x:c>
      <x:c r="E187" s="24" t="str">
        <x:v>T37</x:v>
      </x:c>
      <x:c r="F187" s="24" t="str">
        <x:v>AC-S-04</x:v>
      </x:c>
      <x:c r="G187" s="24" t="str">
        <x:v>tests/e2e/storage-settings.spec.ts</x:v>
      </x:c>
      <x:c r="H187" s="24" t="str">
        <x:v>设置页</x:v>
      </x:c>
      <x:c r="I187" s="24" t="str">
        <x:v>遵循系统或手动关闭非必要动效</x:v>
      </x:c>
      <x:c r="J187" s="24" t="str">
        <x:v>不改变任务状态</x:v>
      </x:c>
      <x:c r="K187" s="24" t="str">
        <x:v>本地偏好</x:v>
      </x:c>
      <x:c r="L187" s="24" t="str">
        <x:v>本地，不计费</x:v>
      </x:c>
      <x:c r="M187" s="26" t="str">
        <x:v>待实施</x:v>
      </x:c>
      <x:c r="N187" s="24" t="str"/>
      <x:c r="O187" s="24" t="str">
        <x:v>Design 1.0</x:v>
      </x:c>
    </x:row>
    <x:row r="188" ht="92" customHeight="1">
      <x:c r="A188" s="24" t="str">
        <x:v>S-05</x:v>
      </x:c>
      <x:c r="B188" s="24" t="str">
        <x:v>快捷键说明</x:v>
      </x:c>
      <x:c r="C188" s="24" t="str">
        <x:v>P12</x:v>
      </x:c>
      <x:c r="D188" s="24" t="str">
        <x:v>本轮主线</x:v>
      </x:c>
      <x:c r="E188" s="24" t="str">
        <x:v>T37</x:v>
      </x:c>
      <x:c r="F188" s="24" t="str">
        <x:v>AC-S-05</x:v>
      </x:c>
      <x:c r="G188" s="24" t="str">
        <x:v>tests/e2e/storage-settings.spec.ts</x:v>
      </x:c>
      <x:c r="H188" s="24" t="str">
        <x:v>任意页</x:v>
      </x:c>
      <x:c r="I188" s="24" t="str">
        <x:v>列快捷键与输入框例外；可搜索</x:v>
      </x:c>
      <x:c r="J188" s="24" t="str">
        <x:v>无键盘也有菜单替代</x:v>
      </x:c>
      <x:c r="K188" s="24" t="str">
        <x:v>只读</x:v>
      </x:c>
      <x:c r="L188" s="24" t="str">
        <x:v>本地，不计费</x:v>
      </x:c>
      <x:c r="M188" s="26" t="str">
        <x:v>待实施</x:v>
      </x:c>
      <x:c r="N188" s="24" t="str"/>
      <x:c r="O188" s="24" t="str">
        <x:v>Design 1.0</x:v>
      </x:c>
    </x:row>
    <x:row r="189" ht="92" customHeight="1">
      <x:c r="A189" s="24" t="str">
        <x:v>S-06</x:v>
      </x:c>
      <x:c r="B189" s="24" t="str">
        <x:v>重置操作偏好</x:v>
      </x:c>
      <x:c r="C189" s="24" t="str">
        <x:v>P12</x:v>
      </x:c>
      <x:c r="D189" s="24" t="str">
        <x:v>本轮主线</x:v>
      </x:c>
      <x:c r="E189" s="24" t="str">
        <x:v>T37</x:v>
      </x:c>
      <x:c r="F189" s="24" t="str">
        <x:v>AC-S-06</x:v>
      </x:c>
      <x:c r="G189" s="24" t="str">
        <x:v>tests/e2e/storage-settings.spec.ts</x:v>
      </x:c>
      <x:c r="H189" s="24" t="str">
        <x:v>确认D18</x:v>
      </x:c>
      <x:c r="I189" s="24" t="str">
        <x:v>仅重置主题/布局/快捷键偏好</x:v>
      </x:c>
      <x:c r="J189" s="24" t="str">
        <x:v>绝不删除项目或Key</x:v>
      </x:c>
      <x:c r="K189" s="24" t="str">
        <x:v>重置前快照可恢复</x:v>
      </x:c>
      <x:c r="L189" s="24" t="str">
        <x:v>本地，不计费</x:v>
      </x:c>
      <x:c r="M189" s="26" t="str">
        <x:v>待实施</x:v>
      </x:c>
      <x:c r="N189" s="24" t="str"/>
      <x:c r="O189" s="24" t="str">
        <x:v>Design 1.0</x:v>
      </x:c>
    </x:row>
    <x:row r="190" ht="92" customHeight="1">
      <x:c r="A190" s="24" t="str">
        <x:v>D-01</x:v>
      </x:c>
      <x:c r="B190" s="24" t="str">
        <x:v>查看占用</x:v>
      </x:c>
      <x:c r="C190" s="24" t="str">
        <x:v>P13</x:v>
      </x:c>
      <x:c r="D190" s="24" t="str">
        <x:v>本轮主线</x:v>
      </x:c>
      <x:c r="E190" s="24" t="str">
        <x:v>T37</x:v>
      </x:c>
      <x:c r="F190" s="24" t="str">
        <x:v>AC-D-01</x:v>
      </x:c>
      <x:c r="G190" s="24" t="str">
        <x:v>tests/e2e/storage-settings.spec.ts</x:v>
      </x:c>
      <x:c r="H190" s="24" t="str">
        <x:v>存储API可用</x:v>
      </x:c>
      <x:c r="I190" s="24" t="str">
        <x:v>显示估计值和本地统计来源</x:v>
      </x:c>
      <x:c r="J190" s="24" t="str">
        <x:v>未知不伪造剩余容量</x:v>
      </x:c>
      <x:c r="K190" s="24" t="str">
        <x:v>只读</x:v>
      </x:c>
      <x:c r="L190" s="24" t="str">
        <x:v>本地，不计费</x:v>
      </x:c>
      <x:c r="M190" s="26" t="str">
        <x:v>待实施</x:v>
      </x:c>
      <x:c r="N190" s="24" t="str"/>
      <x:c r="O190" s="24" t="str">
        <x:v>Design 1.0</x:v>
      </x:c>
    </x:row>
    <x:row r="191" ht="92" customHeight="1">
      <x:c r="A191" s="24" t="str">
        <x:v>D-02</x:v>
      </x:c>
      <x:c r="B191" s="24" t="str">
        <x:v>请求持久存储</x:v>
      </x:c>
      <x:c r="C191" s="24" t="str">
        <x:v>P13</x:v>
      </x:c>
      <x:c r="D191" s="24" t="str">
        <x:v>本轮主线</x:v>
      </x:c>
      <x:c r="E191" s="24" t="str">
        <x:v>T37</x:v>
      </x:c>
      <x:c r="F191" s="24" t="str">
        <x:v>AC-D-02</x:v>
      </x:c>
      <x:c r="G191" s="24" t="str">
        <x:v>tests/e2e/storage-settings.spec.ts</x:v>
      </x:c>
      <x:c r="H191" s="24" t="str">
        <x:v>用户手势</x:v>
      </x:c>
      <x:c r="I191" s="24" t="str">
        <x:v>请求浏览器保留数据，报告是否批准</x:v>
      </x:c>
      <x:c r="J191" s="24" t="str">
        <x:v>拒绝仍可用但建议备份</x:v>
      </x:c>
      <x:c r="K191" s="24" t="str">
        <x:v>记录结果，不保证永不清除</x:v>
      </x:c>
      <x:c r="L191" s="24" t="str">
        <x:v>浏览器Storage API</x:v>
      </x:c>
      <x:c r="M191" s="26" t="str">
        <x:v>待实施</x:v>
      </x:c>
      <x:c r="N191" s="24" t="str"/>
      <x:c r="O191" s="24" t="str">
        <x:v>Design 1.0</x:v>
      </x:c>
    </x:row>
    <x:row r="192" ht="92" customHeight="1">
      <x:c r="A192" s="24" t="str">
        <x:v>D-03</x:v>
      </x:c>
      <x:c r="B192" s="24" t="str">
        <x:v>立即保存</x:v>
      </x:c>
      <x:c r="C192" s="24" t="str">
        <x:v>P13</x:v>
      </x:c>
      <x:c r="D192" s="24" t="str">
        <x:v>本轮主线</x:v>
      </x:c>
      <x:c r="E192" s="24" t="str">
        <x:v>T37</x:v>
      </x:c>
      <x:c r="F192" s="24" t="str">
        <x:v>AC-D-03</x:v>
      </x:c>
      <x:c r="G192" s="24" t="str">
        <x:v>tests/e2e/storage-settings.spec.ts</x:v>
      </x:c>
      <x:c r="H192" s="24" t="str">
        <x:v>项目可写</x:v>
      </x:c>
      <x:c r="I192" s="24" t="str">
        <x:v>强制flush，成功后记录时间</x:v>
      </x:c>
      <x:c r="J192" s="24" t="str">
        <x:v>QuotaExceeded时禁收费新提交</x:v>
      </x:c>
      <x:c r="K192" s="24" t="str">
        <x:v>持久化revision</x:v>
      </x:c>
      <x:c r="L192" s="24" t="str">
        <x:v>本地，不计费</x:v>
      </x:c>
      <x:c r="M192" s="26" t="str">
        <x:v>待实施</x:v>
      </x:c>
      <x:c r="N192" s="24" t="str"/>
      <x:c r="O192" s="24" t="str">
        <x:v>Design 1.0</x:v>
      </x:c>
    </x:row>
    <x:row r="193" ht="92" customHeight="1">
      <x:c r="A193" s="24" t="str">
        <x:v>D-04</x:v>
      </x:c>
      <x:c r="B193" s="24" t="str">
        <x:v>导出结构</x:v>
      </x:c>
      <x:c r="C193" s="24" t="str">
        <x:v>P13</x:v>
      </x:c>
      <x:c r="D193" s="24" t="str">
        <x:v>本轮主线</x:v>
      </x:c>
      <x:c r="E193" s="24" t="str">
        <x:v>T36</x:v>
      </x:c>
      <x:c r="F193" s="24" t="str">
        <x:v>AC-D-04</x:v>
      </x:c>
      <x:c r="G193" s="24" t="str">
        <x:v>tests/unit/project-package.test.ts</x:v>
      </x:c>
      <x:c r="H193" s="24" t="str">
        <x:v>项目可读</x:v>
      </x:c>
      <x:c r="I193" s="24" t="str">
        <x:v>JSON仅结构，不含大媒体；明确需原素材</x:v>
      </x:c>
      <x:c r="J193" s="24" t="str">
        <x:v>缺资源列清单</x:v>
      </x:c>
      <x:c r="K193" s="24" t="str">
        <x:v>不含凭据</x:v>
      </x:c>
      <x:c r="L193" s="24" t="str">
        <x:v>本地，不计费</x:v>
      </x:c>
      <x:c r="M193" s="26" t="str">
        <x:v>待实施</x:v>
      </x:c>
      <x:c r="N193" s="24" t="str"/>
      <x:c r="O193" s="24" t="str">
        <x:v>Design 1.0</x:v>
      </x:c>
    </x:row>
    <x:row r="194" ht="92" customHeight="1">
      <x:c r="A194" s="24" t="str">
        <x:v>D-05</x:v>
      </x:c>
      <x:c r="B194" s="24" t="str">
        <x:v>导出含素材项目包</x:v>
      </x:c>
      <x:c r="C194" s="24" t="str">
        <x:v>P13</x:v>
      </x:c>
      <x:c r="D194" s="24" t="str">
        <x:v>本轮主线</x:v>
      </x:c>
      <x:c r="E194" s="24" t="str">
        <x:v>T36</x:v>
      </x:c>
      <x:c r="F194" s="24" t="str">
        <x:v>AC-D-05</x:v>
      </x:c>
      <x:c r="G194" s="24" t="str">
        <x:v>tests/unit/project-package.test.ts</x:v>
      </x:c>
      <x:c r="H194" s="24" t="str">
        <x:v>项目可读</x:v>
      </x:c>
      <x:c r="I194" s="24" t="str">
        <x:v>manifest+结构+媒体+hash；运行状态只读</x:v>
      </x:c>
      <x:c r="J194" s="24" t="str">
        <x:v>体积超过预算提示拆分项目，不能空包成功</x:v>
      </x:c>
      <x:c r="K194" s="24" t="str">
        <x:v>剔除Key与临时token</x:v>
      </x:c>
      <x:c r="L194" s="24" t="str">
        <x:v>本地，不计费</x:v>
      </x:c>
      <x:c r="M194" s="26" t="str">
        <x:v>待实施</x:v>
      </x:c>
      <x:c r="N194" s="24" t="str"/>
      <x:c r="O194" s="24" t="str">
        <x:v>Design 1.0</x:v>
      </x:c>
    </x:row>
    <x:row r="195" ht="92" customHeight="1">
      <x:c r="A195" s="24" t="str">
        <x:v>D-06</x:v>
      </x:c>
      <x:c r="B195" s="24" t="str">
        <x:v>清理缩略图缓存</x:v>
      </x:c>
      <x:c r="C195" s="24" t="str">
        <x:v>P13</x:v>
      </x:c>
      <x:c r="D195" s="24" t="str">
        <x:v>本轮主线</x:v>
      </x:c>
      <x:c r="E195" s="24" t="str">
        <x:v>T37</x:v>
      </x:c>
      <x:c r="F195" s="24" t="str">
        <x:v>AC-D-06</x:v>
      </x:c>
      <x:c r="G195" s="24" t="str">
        <x:v>tests/e2e/storage-settings.spec.ts</x:v>
      </x:c>
      <x:c r="H195" s="24" t="str">
        <x:v>存在可重建缓存</x:v>
      </x:c>
      <x:c r="I195" s="24" t="str">
        <x:v>显示将清理大小，保留原文件和任务记录</x:v>
      </x:c>
      <x:c r="J195" s="24" t="str">
        <x:v>不可清理唯一原视频</x:v>
      </x:c>
      <x:c r="K195" s="24" t="str">
        <x:v>可自动重建非收费缩略图</x:v>
      </x:c>
      <x:c r="L195" s="24" t="str">
        <x:v>本地，不计费</x:v>
      </x:c>
      <x:c r="M195" s="26" t="str">
        <x:v>待实施</x:v>
      </x:c>
      <x:c r="N195" s="24" t="str"/>
      <x:c r="O195" s="24" t="str">
        <x:v>Design 1.0</x:v>
      </x:c>
    </x:row>
    <x:row r="196" ht="92" customHeight="1">
      <x:c r="A196" s="24" t="str">
        <x:v>D-07</x:v>
      </x:c>
      <x:c r="B196" s="24" t="str">
        <x:v>清理未引用素材</x:v>
      </x:c>
      <x:c r="C196" s="24" t="str">
        <x:v>P13</x:v>
      </x:c>
      <x:c r="D196" s="24" t="str">
        <x:v>本轮主线</x:v>
      </x:c>
      <x:c r="E196" s="24" t="str">
        <x:v>T08</x:v>
      </x:c>
      <x:c r="F196" s="24" t="str">
        <x:v>AC-D-07</x:v>
      </x:c>
      <x:c r="G196" s="24" t="str">
        <x:v>tests/unit/asset-retention.test.ts</x:v>
      </x:c>
      <x:c r="H196" s="24" t="str">
        <x:v>引用扫描完成</x:v>
      </x:c>
      <x:c r="I196" s="24" t="str">
        <x:v>展示明细，由用户确认</x:v>
      </x:c>
      <x:c r="J196" s="24" t="str">
        <x:v>活动run/历史需要的素材视为已引用</x:v>
      </x:c>
      <x:c r="K196" s="24" t="str">
        <x:v>危险操作单独确认</x:v>
      </x:c>
      <x:c r="L196" s="24" t="str">
        <x:v>本地，不计费</x:v>
      </x:c>
      <x:c r="M196" s="26" t="str">
        <x:v>待实施</x:v>
      </x:c>
      <x:c r="N196" s="24" t="str"/>
      <x:c r="O196" s="24" t="str">
        <x:v>Design 1.0</x:v>
      </x:c>
    </x:row>
    <x:row r="197" ht="92" customHeight="1">
      <x:c r="A197" s="24" t="str">
        <x:v>D-08</x:v>
      </x:c>
      <x:c r="B197" s="24" t="str">
        <x:v>清空本地项目数据</x:v>
      </x:c>
      <x:c r="C197" s="24" t="str">
        <x:v>P13</x:v>
      </x:c>
      <x:c r="D197" s="24" t="str">
        <x:v>本轮主线</x:v>
      </x:c>
      <x:c r="E197" s="24" t="str">
        <x:v>T08</x:v>
      </x:c>
      <x:c r="F197" s="24" t="str">
        <x:v>AC-D-08</x:v>
      </x:c>
      <x:c r="G197" s="24" t="str">
        <x:v>tests/unit/asset-retention.test.ts</x:v>
      </x:c>
      <x:c r="H197" s="24" t="str">
        <x:v>D19输入确认词且备份提醒</x:v>
      </x:c>
      <x:c r="I197" s="24" t="str">
        <x:v>列出全部影响；活动未知任务禁止擦唯一追踪</x:v>
      </x:c>
      <x:c r="J197" s="24" t="str">
        <x:v>阻止时保留数据；不修改Core数据库</x:v>
      </x:c>
      <x:c r="K197" s="24" t="str">
        <x:v>不可撤销；不退款不删远端</x:v>
      </x:c>
      <x:c r="L197" s="24" t="str">
        <x:v>本地，不计费</x:v>
      </x:c>
      <x:c r="M197" s="26" t="str">
        <x:v>待实施</x:v>
      </x:c>
      <x:c r="N197" s="24" t="str"/>
      <x:c r="O197" s="24" t="str">
        <x:v>Design 1.0</x:v>
      </x:c>
    </x:row>
    <x:row r="198" ht="92" customHeight="1">
      <x:c r="A198" s="24" t="str">
        <x:v>D-09</x:v>
      </x:c>
      <x:c r="B198" s="24" t="str">
        <x:v>导出脱敏设置</x:v>
      </x:c>
      <x:c r="C198" s="24" t="str">
        <x:v>P13</x:v>
      </x:c>
      <x:c r="D198" s="24" t="str">
        <x:v>本轮主线</x:v>
      </x:c>
      <x:c r="E198" s="24" t="str">
        <x:v>T36</x:v>
      </x:c>
      <x:c r="F198" s="24" t="str">
        <x:v>AC-D-09</x:v>
      </x:c>
      <x:c r="G198" s="24" t="str">
        <x:v>tests/unit/project-package.test.ts</x:v>
      </x:c>
      <x:c r="H198" s="24" t="str">
        <x:v>设置可读</x:v>
      </x:c>
      <x:c r="I198" s="24" t="str">
        <x:v>只含外观、连接地址、参数默认</x:v>
      </x:c>
      <x:c r="J198" s="24" t="str">
        <x:v>不导出密钥/代理秘密</x:v>
      </x:c>
      <x:c r="K198" s="24" t="str">
        <x:v>导出副本</x:v>
      </x:c>
      <x:c r="L198" s="24" t="str">
        <x:v>本地，不计费</x:v>
      </x:c>
      <x:c r="M198" s="26" t="str">
        <x:v>待实施</x:v>
      </x:c>
      <x:c r="N198" s="24" t="str"/>
      <x:c r="O198" s="24" t="str">
        <x:v>Design 1.0</x:v>
      </x:c>
    </x:row>
    <x:row r="199" ht="92" customHeight="1">
      <x:c r="A199" s="24" t="str">
        <x:v>D-10</x:v>
      </x:c>
      <x:c r="B199" s="24" t="str">
        <x:v>导入设置</x:v>
      </x:c>
      <x:c r="C199" s="24" t="str">
        <x:v>P13</x:v>
      </x:c>
      <x:c r="D199" s="24" t="str">
        <x:v>本轮主线</x:v>
      </x:c>
      <x:c r="E199" s="24" t="str">
        <x:v>T36</x:v>
      </x:c>
      <x:c r="F199" s="24" t="str">
        <x:v>AC-D-10</x:v>
      </x:c>
      <x:c r="G199" s="24" t="str">
        <x:v>tests/unit/project-package.test.ts</x:v>
      </x:c>
      <x:c r="H199" s="24" t="str">
        <x:v>JSON通过schema</x:v>
      </x:c>
      <x:c r="I199" s="24" t="str">
        <x:v>显示差异并选择性导入；地址需重新授权</x:v>
      </x:c>
      <x:c r="J199" s="24" t="str">
        <x:v>不会测试/提交/安装脚本</x:v>
      </x:c>
      <x:c r="K199" s="24" t="str">
        <x:v>可撤销设置</x:v>
      </x:c>
      <x:c r="L199" s="24" t="str">
        <x:v>本地，不计费</x:v>
      </x:c>
      <x:c r="M199" s="26" t="str">
        <x:v>待实施</x:v>
      </x:c>
      <x:c r="N199" s="24" t="str"/>
      <x:c r="O199" s="24" t="str">
        <x:v>Design 1.0</x:v>
      </x:c>
    </x:row>
    <x:row r="200" ht="92" customHeight="1">
      <x:c r="A200" s="24" t="str">
        <x:v>I-01</x:v>
      </x:c>
      <x:c r="B200" s="24" t="str">
        <x:v>选择导入文件</x:v>
      </x:c>
      <x:c r="C200" s="24" t="str">
        <x:v>P14</x:v>
      </x:c>
      <x:c r="D200" s="24" t="str">
        <x:v>本轮主线</x:v>
      </x:c>
      <x:c r="E200" s="24" t="str">
        <x:v>T36</x:v>
      </x:c>
      <x:c r="F200" s="24" t="str">
        <x:v>AC-I-01</x:v>
      </x:c>
      <x:c r="G200" s="24" t="str">
        <x:v>tests/unit/project-package.test.ts</x:v>
      </x:c>
      <x:c r="H200" s="24" t="str">
        <x:v>用户显式手势</x:v>
      </x:c>
      <x:c r="I200" s="24" t="str">
        <x:v>仅允许本产品schema或人工启用迁移器</x:v>
      </x:c>
      <x:c r="J200" s="24" t="str">
        <x:v>未知包拒绝；不自动下载URL</x:v>
      </x:c>
      <x:c r="K200" s="24" t="str">
        <x:v>不写项目前先校验</x:v>
      </x:c>
      <x:c r="L200" s="24" t="str">
        <x:v>本地，不计费</x:v>
      </x:c>
      <x:c r="M200" s="26" t="str">
        <x:v>待实施</x:v>
      </x:c>
      <x:c r="N200" s="24" t="str"/>
      <x:c r="O200" s="24" t="str">
        <x:v>Design 1.0</x:v>
      </x:c>
    </x:row>
    <x:row r="201" ht="92" customHeight="1">
      <x:c r="A201" s="24" t="str">
        <x:v>I-02</x:v>
      </x:c>
      <x:c r="B201" s="24" t="str">
        <x:v>校验项目包</x:v>
      </x:c>
      <x:c r="C201" s="24" t="str">
        <x:v>P14</x:v>
      </x:c>
      <x:c r="D201" s="24" t="str">
        <x:v>本轮主线</x:v>
      </x:c>
      <x:c r="E201" s="24" t="str">
        <x:v>T36</x:v>
      </x:c>
      <x:c r="F201" s="24" t="str">
        <x:v>AC-I-02</x:v>
      </x:c>
      <x:c r="G201" s="24" t="str">
        <x:v>tests/unit/project-package.test.ts</x:v>
      </x:c>
      <x:c r="H201" s="24" t="str">
        <x:v>文件已选择</x:v>
      </x:c>
      <x:c r="I201" s="24" t="str">
        <x:v>核对manifest版本、hash、路径、展开大小</x:v>
      </x:c>
      <x:c r="J201" s="24" t="str">
        <x:v>拒绝路径穿越/脚本/压缩炸弹/重复ID</x:v>
      </x:c>
      <x:c r="K201" s="24" t="str">
        <x:v>沙盒暂存，失败清理</x:v>
      </x:c>
      <x:c r="L201" s="24" t="str">
        <x:v>本地，不计费</x:v>
      </x:c>
      <x:c r="M201" s="26" t="str">
        <x:v>待实施</x:v>
      </x:c>
      <x:c r="N201" s="24" t="str"/>
      <x:c r="O201" s="24" t="str">
        <x:v>Design 1.0</x:v>
      </x:c>
    </x:row>
    <x:row r="202" ht="92" customHeight="1">
      <x:c r="A202" s="24" t="str">
        <x:v>I-03</x:v>
      </x:c>
      <x:c r="B202" s="24" t="str">
        <x:v>预览导入内容</x:v>
      </x:c>
      <x:c r="C202" s="24" t="str">
        <x:v>P14</x:v>
      </x:c>
      <x:c r="D202" s="24" t="str">
        <x:v>本轮主线</x:v>
      </x:c>
      <x:c r="E202" s="24" t="str">
        <x:v>T36</x:v>
      </x:c>
      <x:c r="F202" s="24" t="str">
        <x:v>AC-I-03</x:v>
      </x:c>
      <x:c r="G202" s="24" t="str">
        <x:v>tests/unit/project-package.test.ts</x:v>
      </x:c>
      <x:c r="H202" s="24" t="str">
        <x:v>校验成功</x:v>
      </x:c>
      <x:c r="I202" s="24" t="str">
        <x:v>列节点、文件、未知字段、历史绑定</x:v>
      </x:c>
      <x:c r="J202" s="24" t="str">
        <x:v>不能假称媒体完整</x:v>
      </x:c>
      <x:c r="K202" s="24" t="str">
        <x:v>无持久写入</x:v>
      </x:c>
      <x:c r="L202" s="24" t="str">
        <x:v>本地，不计费</x:v>
      </x:c>
      <x:c r="M202" s="26" t="str">
        <x:v>待实施</x:v>
      </x:c>
      <x:c r="N202" s="24" t="str"/>
      <x:c r="O202" s="24" t="str">
        <x:v>Design 1.0</x:v>
      </x:c>
    </x:row>
    <x:row r="203" ht="92" customHeight="1">
      <x:c r="A203" s="24" t="str">
        <x:v>I-04</x:v>
      </x:c>
      <x:c r="B203" s="24" t="str">
        <x:v>另存为新项目</x:v>
      </x:c>
      <x:c r="C203" s="24" t="str">
        <x:v>P14</x:v>
      </x:c>
      <x:c r="D203" s="24" t="str">
        <x:v>本轮主线</x:v>
      </x:c>
      <x:c r="E203" s="24" t="str">
        <x:v>T36</x:v>
      </x:c>
      <x:c r="F203" s="24" t="str">
        <x:v>AC-I-04</x:v>
      </x:c>
      <x:c r="G203" s="24" t="str">
        <x:v>tests/unit/project-package.test.ts</x:v>
      </x:c>
      <x:c r="H203" s="24" t="str">
        <x:v>默认策略</x:v>
      </x:c>
      <x:c r="I203" s="24" t="str">
        <x:v>分配新project/node IDs，正确重映射边</x:v>
      </x:c>
      <x:c r="J203" s="24" t="str">
        <x:v>禁止盲目覆盖现存项目</x:v>
      </x:c>
      <x:c r="K203" s="24" t="str">
        <x:v>事务写入，旧项目保留</x:v>
      </x:c>
      <x:c r="L203" s="24" t="str">
        <x:v>本地，不计费</x:v>
      </x:c>
      <x:c r="M203" s="26" t="str">
        <x:v>待实施</x:v>
      </x:c>
      <x:c r="N203" s="24" t="str"/>
      <x:c r="O203" s="24" t="str">
        <x:v>Design 1.0</x:v>
      </x:c>
    </x:row>
    <x:row r="204" ht="92" customHeight="1">
      <x:c r="A204" s="24" t="str">
        <x:v>I-05</x:v>
      </x:c>
      <x:c r="B204" s="24" t="str">
        <x:v>隔离未知节点</x:v>
      </x:c>
      <x:c r="C204" s="24" t="str">
        <x:v>P14</x:v>
      </x:c>
      <x:c r="D204" s="24" t="str">
        <x:v>本轮主线</x:v>
      </x:c>
      <x:c r="E204" s="24" t="str">
        <x:v>T36</x:v>
      </x:c>
      <x:c r="F204" s="24" t="str">
        <x:v>AC-I-05</x:v>
      </x:c>
      <x:c r="G204" s="24" t="str">
        <x:v>tests/unit/project-package.test.ts</x:v>
      </x:c>
      <x:c r="H204" s="24" t="str">
        <x:v>有未知schema</x:v>
      </x:c>
      <x:c r="I204" s="24" t="str">
        <x:v>显示只读占位，保留JSON用于导出</x:v>
      </x:c>
      <x:c r="J204" s="24" t="str">
        <x:v>不执行unknown节点或恢复脚本</x:v>
      </x:c>
      <x:c r="K204" s="24" t="str">
        <x:v>保留原始payload为数据</x:v>
      </x:c>
      <x:c r="L204" s="24" t="str">
        <x:v>本地，不计费</x:v>
      </x:c>
      <x:c r="M204" s="26" t="str">
        <x:v>待实施</x:v>
      </x:c>
      <x:c r="N204" s="24" t="str"/>
      <x:c r="O204" s="24" t="str">
        <x:v>Design 1.0</x:v>
      </x:c>
    </x:row>
    <x:row r="205" ht="92" customHeight="1">
      <x:c r="A205" s="24" t="str">
        <x:v>I-06</x:v>
      </x:c>
      <x:c r="B205" s="24" t="str">
        <x:v>确认导入</x:v>
      </x:c>
      <x:c r="C205" s="24" t="str">
        <x:v>P14</x:v>
      </x:c>
      <x:c r="D205" s="24" t="str">
        <x:v>本轮主线</x:v>
      </x:c>
      <x:c r="E205" s="24" t="str">
        <x:v>T36</x:v>
      </x:c>
      <x:c r="F205" s="24" t="str">
        <x:v>AC-I-06</x:v>
      </x:c>
      <x:c r="G205" s="24" t="str">
        <x:v>tests/unit/project-package.test.ts</x:v>
      </x:c>
      <x:c r="H205" s="24" t="str">
        <x:v>检查完成且空间足够</x:v>
      </x:c>
      <x:c r="I205" s="24" t="str">
        <x:v>一次事务提交并打开结果摘要</x:v>
      </x:c>
      <x:c r="J205" s="24" t="str">
        <x:v>部分失败回滚本次导入</x:v>
      </x:c>
      <x:c r="K205" s="24" t="str">
        <x:v>新项目可删除</x:v>
      </x:c>
      <x:c r="L205" s="24" t="str">
        <x:v>本地，不计费</x:v>
      </x:c>
      <x:c r="M205" s="26" t="str">
        <x:v>待实施</x:v>
      </x:c>
      <x:c r="N205" s="24" t="str"/>
      <x:c r="O205" s="24" t="str">
        <x:v>Design 1.0</x:v>
      </x:c>
    </x:row>
    <x:row r="206" ht="92" customHeight="1">
      <x:c r="A206" s="24" t="str">
        <x:v>I-07</x:v>
      </x:c>
      <x:c r="B206" s="24" t="str">
        <x:v>取消导入</x:v>
      </x:c>
      <x:c r="C206" s="24" t="str">
        <x:v>P14</x:v>
      </x:c>
      <x:c r="D206" s="24" t="str">
        <x:v>本轮主线</x:v>
      </x:c>
      <x:c r="E206" s="24" t="str">
        <x:v>T36</x:v>
      </x:c>
      <x:c r="F206" s="24" t="str">
        <x:v>AC-I-07</x:v>
      </x:c>
      <x:c r="G206" s="24" t="str">
        <x:v>tests/unit/project-package.test.ts</x:v>
      </x:c>
      <x:c r="H206" s="24" t="str">
        <x:v>未完成写入</x:v>
      </x:c>
      <x:c r="I206" s="24" t="str">
        <x:v>释放暂存，原项目不变</x:v>
      </x:c>
      <x:c r="J206" s="24" t="str">
        <x:v>进入最终事务后等待明确完成/失败</x:v>
      </x:c>
      <x:c r="K206" s="24" t="str">
        <x:v>无半写记录</x:v>
      </x:c>
      <x:c r="L206" s="24" t="str">
        <x:v>本地，不计费</x:v>
      </x:c>
      <x:c r="M206" s="26" t="str">
        <x:v>待实施</x:v>
      </x:c>
      <x:c r="N206" s="24" t="str"/>
      <x:c r="O206" s="24" t="str">
        <x:v>Design 1.0</x:v>
      </x:c>
    </x:row>
    <x:row r="207" ht="92" customHeight="1">
      <x:c r="A207" s="24" t="str">
        <x:v>I-08</x:v>
      </x:c>
      <x:c r="B207" s="24" t="str">
        <x:v>查看导入报告</x:v>
      </x:c>
      <x:c r="C207" s="24" t="str">
        <x:v>P14</x:v>
      </x:c>
      <x:c r="D207" s="24" t="str">
        <x:v>本轮主线</x:v>
      </x:c>
      <x:c r="E207" s="24" t="str">
        <x:v>T36</x:v>
      </x:c>
      <x:c r="F207" s="24" t="str">
        <x:v>AC-I-08</x:v>
      </x:c>
      <x:c r="G207" s="24" t="str">
        <x:v>tests/unit/project-package.test.ts</x:v>
      </x:c>
      <x:c r="H207" s="24" t="str">
        <x:v>已完成或失败</x:v>
      </x:c>
      <x:c r="I207" s="24" t="str">
        <x:v>显示处理数量、缺失和已剔除秘密字段</x:v>
      </x:c>
      <x:c r="J207" s="24" t="str">
        <x:v>敏感值永不回显</x:v>
      </x:c>
      <x:c r="K207" s="24" t="str">
        <x:v>可下载脱敏报告</x:v>
      </x:c>
      <x:c r="L207" s="24" t="str">
        <x:v>本地，不计费</x:v>
      </x:c>
      <x:c r="M207" s="26" t="str">
        <x:v>待实施</x:v>
      </x:c>
      <x:c r="N207" s="24" t="str"/>
      <x:c r="O207" s="24" t="str">
        <x:v>Design 1.0</x:v>
      </x:c>
    </x:row>
    <x:row r="208" ht="92" customHeight="1">
      <x:c r="A208" s="24" t="str">
        <x:v>H-01</x:v>
      </x:c>
      <x:c r="B208" s="24" t="str">
        <x:v>筛选活动</x:v>
      </x:c>
      <x:c r="C208" s="24" t="str">
        <x:v>P15</x:v>
      </x:c>
      <x:c r="D208" s="24" t="str">
        <x:v>本轮主线</x:v>
      </x:c>
      <x:c r="E208" s="24" t="str">
        <x:v>T38</x:v>
      </x:c>
      <x:c r="F208" s="24" t="str">
        <x:v>AC-H-01</x:v>
      </x:c>
      <x:c r="G208" s="24" t="str">
        <x:v>tests/e2e/recovery-diagnostics.spec.ts</x:v>
      </x:c>
      <x:c r="H208" s="24" t="str">
        <x:v>有日志</x:v>
      </x:c>
      <x:c r="I208" s="24" t="str">
        <x:v>项目/类型/日期过滤</x:v>
      </x:c>
      <x:c r="J208" s="24" t="str">
        <x:v>无结果可清除</x:v>
      </x:c>
      <x:c r="K208" s="24" t="str">
        <x:v>UI偏好</x:v>
      </x:c>
      <x:c r="L208" s="24" t="str">
        <x:v>本地，不计费</x:v>
      </x:c>
      <x:c r="M208" s="26" t="str">
        <x:v>待实施</x:v>
      </x:c>
      <x:c r="N208" s="24" t="str"/>
      <x:c r="O208" s="24" t="str">
        <x:v>Design 1.0</x:v>
      </x:c>
    </x:row>
    <x:row r="209" ht="92" customHeight="1">
      <x:c r="A209" s="24" t="str">
        <x:v>H-02</x:v>
      </x:c>
      <x:c r="B209" s="24" t="str">
        <x:v>查看错误详情</x:v>
      </x:c>
      <x:c r="C209" s="24" t="str">
        <x:v>P15</x:v>
      </x:c>
      <x:c r="D209" s="24" t="str">
        <x:v>本轮主线</x:v>
      </x:c>
      <x:c r="E209" s="24" t="str">
        <x:v>T38</x:v>
      </x:c>
      <x:c r="F209" s="24" t="str">
        <x:v>AC-H-02</x:v>
      </x:c>
      <x:c r="G209" s="24" t="str">
        <x:v>tests/e2e/recovery-diagnostics.spec.ts</x:v>
      </x:c>
      <x:c r="H209" s="24" t="str">
        <x:v>有错误</x:v>
      </x:c>
      <x:c r="I209" s="24" t="str">
        <x:v>用户解释＋技术码＋taskId＋下一安全动作</x:v>
      </x:c>
      <x:c r="J209" s="24" t="str">
        <x:v>不暴露上游响应原文秘密</x:v>
      </x:c>
      <x:c r="K209" s="24" t="str">
        <x:v>只读</x:v>
      </x:c>
      <x:c r="L209" s="24" t="str">
        <x:v>本地，不计费</x:v>
      </x:c>
      <x:c r="M209" s="26" t="str">
        <x:v>待实施</x:v>
      </x:c>
      <x:c r="N209" s="24" t="str"/>
      <x:c r="O209" s="24" t="str">
        <x:v>Design 1.0</x:v>
      </x:c>
    </x:row>
    <x:row r="210" ht="92" customHeight="1">
      <x:c r="A210" s="24" t="str">
        <x:v>H-03</x:v>
      </x:c>
      <x:c r="B210" s="24" t="str">
        <x:v>导出诊断包</x:v>
      </x:c>
      <x:c r="C210" s="24" t="str">
        <x:v>P15</x:v>
      </x:c>
      <x:c r="D210" s="24" t="str">
        <x:v>本轮主线</x:v>
      </x:c>
      <x:c r="E210" s="24" t="str">
        <x:v>T38</x:v>
      </x:c>
      <x:c r="F210" s="24" t="str">
        <x:v>AC-H-03</x:v>
      </x:c>
      <x:c r="G210" s="24" t="str">
        <x:v>tests/e2e/recovery-diagnostics.spec.ts</x:v>
      </x:c>
      <x:c r="H210" s="24" t="str">
        <x:v>用户确认</x:v>
      </x:c>
      <x:c r="I210" s="24" t="str">
        <x:v>先预览脱敏字段清单，再导出</x:v>
      </x:c>
      <x:c r="J210" s="24" t="str">
        <x:v>检测疑似秘密即阻止并剔除</x:v>
      </x:c>
      <x:c r="K210" s="24" t="str">
        <x:v>不含素材及提示词全文</x:v>
      </x:c>
      <x:c r="L210" s="24" t="str">
        <x:v>本地，不计费</x:v>
      </x:c>
      <x:c r="M210" s="26" t="str">
        <x:v>待实施</x:v>
      </x:c>
      <x:c r="N210" s="24" t="str"/>
      <x:c r="O210" s="24" t="str">
        <x:v>Design 1.0</x:v>
      </x:c>
    </x:row>
    <x:row r="211" ht="92" customHeight="1">
      <x:c r="A211" s="24" t="str">
        <x:v>H-04</x:v>
      </x:c>
      <x:c r="B211" s="24" t="str">
        <x:v>清理活动显示</x:v>
      </x:c>
      <x:c r="C211" s="24" t="str">
        <x:v>P15</x:v>
      </x:c>
      <x:c r="D211" s="24" t="str">
        <x:v>本轮主线</x:v>
      </x:c>
      <x:c r="E211" s="24" t="str">
        <x:v>T38</x:v>
      </x:c>
      <x:c r="F211" s="24" t="str">
        <x:v>AC-H-04</x:v>
      </x:c>
      <x:c r="G211" s="24" t="str">
        <x:v>tests/e2e/recovery-diagnostics.spec.ts</x:v>
      </x:c>
      <x:c r="H211" s="24" t="str">
        <x:v>用户确认</x:v>
      </x:c>
      <x:c r="I211" s="24" t="str">
        <x:v>清本地诊断日志，不删任务执行记录</x:v>
      </x:c>
      <x:c r="J211" s="24" t="str">
        <x:v>活动任务追踪不得清除</x:v>
      </x:c>
      <x:c r="K211" s="24" t="str">
        <x:v>不可撤销前提示</x:v>
      </x:c>
      <x:c r="L211" s="24" t="str">
        <x:v>本地，不计费</x:v>
      </x:c>
      <x:c r="M211" s="26" t="str">
        <x:v>待实施</x:v>
      </x:c>
      <x:c r="N211" s="24" t="str"/>
      <x:c r="O211" s="24" t="str">
        <x:v>Design 1.0</x:v>
      </x:c>
    </x:row>
    <x:row r="212" ht="92" customHeight="1">
      <x:c r="A212" s="24" t="str">
        <x:v>Q-01</x:v>
      </x:c>
      <x:c r="B212" s="24" t="str">
        <x:v>版本信息</x:v>
      </x:c>
      <x:c r="C212" s="24" t="str">
        <x:v>P16</x:v>
      </x:c>
      <x:c r="D212" s="24" t="str">
        <x:v>本轮主线</x:v>
      </x:c>
      <x:c r="E212" s="24" t="str">
        <x:v>T38</x:v>
      </x:c>
      <x:c r="F212" s="24" t="str">
        <x:v>AC-Q-01</x:v>
      </x:c>
      <x:c r="G212" s="24" t="str">
        <x:v>tests/e2e/recovery-diagnostics.spec.ts</x:v>
      </x:c>
      <x:c r="H212" s="24" t="str">
        <x:v>帮助页</x:v>
      </x:c>
      <x:c r="I212" s="24" t="str">
        <x:v>显示产品/适配器/项目schema版本</x:v>
      </x:c>
      <x:c r="J212" s="24" t="str">
        <x:v>未发布版明确设计或开发态</x:v>
      </x:c>
      <x:c r="K212" s="24" t="str">
        <x:v>只读</x:v>
      </x:c>
      <x:c r="L212" s="24" t="str">
        <x:v>本地，不计费</x:v>
      </x:c>
      <x:c r="M212" s="26" t="str">
        <x:v>待实施</x:v>
      </x:c>
      <x:c r="N212" s="24" t="str"/>
      <x:c r="O212" s="24" t="str">
        <x:v>Design 1.0</x:v>
      </x:c>
    </x:row>
    <x:row r="213" ht="92" customHeight="1">
      <x:c r="A213" s="24" t="str">
        <x:v>Q-02</x:v>
      </x:c>
      <x:c r="B213" s="24" t="str">
        <x:v>第三方许可</x:v>
      </x:c>
      <x:c r="C213" s="24" t="str">
        <x:v>P16</x:v>
      </x:c>
      <x:c r="D213" s="24" t="str">
        <x:v>本轮主线</x:v>
      </x:c>
      <x:c r="E213" s="24" t="str">
        <x:v>T47</x:v>
      </x:c>
      <x:c r="F213" s="24" t="str">
        <x:v>AC-Q-02</x:v>
      </x:c>
      <x:c r="G213" s="24" t="str">
        <x:v>tests/e2e/distribution.spec.ts</x:v>
      </x:c>
      <x:c r="H213" s="24" t="str">
        <x:v>法律声明入口</x:v>
      </x:c>
      <x:c r="I213" s="24" t="str">
        <x:v>展示必须保留的版权/许可；与产品营销分开</x:v>
      </x:c>
      <x:c r="J213" s="24" t="str">
        <x:v>不能将删除声明列为验收目标</x:v>
      </x:c>
      <x:c r="K213" s="24" t="str">
        <x:v>随发行包保留</x:v>
      </x:c>
      <x:c r="L213" s="24" t="str">
        <x:v>本地，不计费</x:v>
      </x:c>
      <x:c r="M213" s="26" t="str">
        <x:v>待实施</x:v>
      </x:c>
      <x:c r="N213" s="24" t="str"/>
      <x:c r="O213" s="24" t="str">
        <x:v>Design 1.0</x:v>
      </x:c>
    </x:row>
    <x:row r="214" ht="92" customHeight="1">
      <x:c r="A214" s="24" t="str">
        <x:v>Q-03</x:v>
      </x:c>
      <x:c r="B214" s="24" t="str">
        <x:v>反馈问题</x:v>
      </x:c>
      <x:c r="C214" s="24" t="str">
        <x:v>P16</x:v>
      </x:c>
      <x:c r="D214" s="24" t="str">
        <x:v>本轮主线</x:v>
      </x:c>
      <x:c r="E214" s="24" t="str">
        <x:v>T38</x:v>
      </x:c>
      <x:c r="F214" s="24" t="str">
        <x:v>AC-Q-03</x:v>
      </x:c>
      <x:c r="G214" s="24" t="str">
        <x:v>tests/e2e/recovery-diagnostics.spec.ts</x:v>
      </x:c>
      <x:c r="H214" s="24" t="str">
        <x:v>部署配置有自有渠道</x:v>
      </x:c>
      <x:c r="I214" s="24" t="str">
        <x:v>先复制脱敏摘要，再经用户打开外部页</x:v>
      </x:c>
      <x:c r="J214" s="24" t="str">
        <x:v>未配置则只提供本地报告导出</x:v>
      </x:c>
      <x:c r="K214" s="24" t="str">
        <x:v>不发自动遥测</x:v>
      </x:c>
      <x:c r="L214" s="24" t="str">
        <x:v>显式外链，不附Key</x:v>
      </x:c>
      <x:c r="M214" s="26" t="str">
        <x:v>待实施</x:v>
      </x:c>
      <x:c r="N214" s="24" t="str"/>
      <x:c r="O214" s="24" t="str">
        <x:v>Design 1.0</x:v>
      </x:c>
    </x:row>
    <x:row r="215" ht="92" customHeight="1">
      <x:c r="A215" s="24" t="str">
        <x:v>Q-04</x:v>
      </x:c>
      <x:c r="B215" s="24" t="str">
        <x:v>查看入门/常见问题</x:v>
      </x:c>
      <x:c r="C215" s="24" t="str">
        <x:v>P16</x:v>
      </x:c>
      <x:c r="D215" s="24" t="str">
        <x:v>本轮主线</x:v>
      </x:c>
      <x:c r="E215" s="24" t="str">
        <x:v>T38</x:v>
      </x:c>
      <x:c r="F215" s="24" t="str">
        <x:v>AC-Q-04</x:v>
      </x:c>
      <x:c r="G215" s="24" t="str">
        <x:v>tests/e2e/recovery-diagnostics.spec.ts</x:v>
      </x:c>
      <x:c r="H215" s="24" t="str">
        <x:v>任意模式</x:v>
      </x:c>
      <x:c r="I215" s="24" t="str">
        <x:v>本地帮助，包含保存/授权/重试说明</x:v>
      </x:c>
      <x:c r="J215" s="24" t="str">
        <x:v>离线可用</x:v>
      </x:c>
      <x:c r="K215" s="24" t="str">
        <x:v>只读</x:v>
      </x:c>
      <x:c r="L215" s="24" t="str">
        <x:v>本地，不计费</x:v>
      </x:c>
      <x:c r="M215" s="26" t="str">
        <x:v>待实施</x:v>
      </x:c>
      <x:c r="N215" s="24" t="str"/>
      <x:c r="O215" s="24" t="str">
        <x:v>Design 1.0</x:v>
      </x:c>
    </x:row>
    <x:row r="216" ht="92" customHeight="1">
      <x:c r="A216" s="24" t="str">
        <x:v>Z-01</x:v>
      </x:c>
      <x:c r="B216" s="24" t="str">
        <x:v>恢复项目</x:v>
      </x:c>
      <x:c r="C216" s="24" t="str">
        <x:v>P17</x:v>
      </x:c>
      <x:c r="D216" s="24" t="str">
        <x:v>本轮主线</x:v>
      </x:c>
      <x:c r="E216" s="24" t="str">
        <x:v>T12</x:v>
      </x:c>
      <x:c r="F216" s="24" t="str">
        <x:v>AC-Z-01</x:v>
      </x:c>
      <x:c r="G216" s="24" t="str">
        <x:v>tests/e2e/project-library.spec.ts</x:v>
      </x:c>
      <x:c r="H216" s="24" t="str">
        <x:v>软删除记录可读</x:v>
      </x:c>
      <x:c r="I216" s="24" t="str">
        <x:v>回原分类并恢复引用</x:v>
      </x:c>
      <x:c r="J216" s="24" t="str">
        <x:v>名称冲突允许重名不覆盖</x:v>
      </x:c>
      <x:c r="K216" s="24" t="str">
        <x:v>可逆</x:v>
      </x:c>
      <x:c r="L216" s="24" t="str">
        <x:v>本地，不计费</x:v>
      </x:c>
      <x:c r="M216" s="26" t="str">
        <x:v>待实施</x:v>
      </x:c>
      <x:c r="N216" s="24" t="str"/>
      <x:c r="O216" s="24" t="str">
        <x:v>Design 1.0</x:v>
      </x:c>
    </x:row>
    <x:row r="217" ht="92" customHeight="1">
      <x:c r="A217" s="24" t="str">
        <x:v>Z-02</x:v>
      </x:c>
      <x:c r="B217" s="24" t="str">
        <x:v>永久删除</x:v>
      </x:c>
      <x:c r="C217" s="24" t="str">
        <x:v>P17</x:v>
      </x:c>
      <x:c r="D217" s="24" t="str">
        <x:v>本轮主线</x:v>
      </x:c>
      <x:c r="E217" s="24" t="str">
        <x:v>T12</x:v>
      </x:c>
      <x:c r="F217" s="24" t="str">
        <x:v>AC-Z-02</x:v>
      </x:c>
      <x:c r="G217" s="24" t="str">
        <x:v>tests/e2e/project-library.spec.ts</x:v>
      </x:c>
      <x:c r="H217" s="24" t="str">
        <x:v>无活动/未知追踪，引用检查完成</x:v>
      </x:c>
      <x:c r="I217" s="24" t="str">
        <x:v>输入项目名确认，只删该项目独占资源</x:v>
      </x:c>
      <x:c r="J217" s="24" t="str">
        <x:v>共享素材保留；不能触发远端取消</x:v>
      </x:c>
      <x:c r="K217" s="24" t="str">
        <x:v>不可撤销</x:v>
      </x:c>
      <x:c r="L217" s="24" t="str">
        <x:v>本地，不计费</x:v>
      </x:c>
      <x:c r="M217" s="26" t="str">
        <x:v>待实施</x:v>
      </x:c>
      <x:c r="N217" s="24" t="str"/>
      <x:c r="O217" s="24" t="str">
        <x:v>Design 1.0</x:v>
      </x:c>
    </x:row>
    <x:row r="218" ht="92" customHeight="1">
      <x:c r="A218" s="24" t="str">
        <x:v>Z-03</x:v>
      </x:c>
      <x:c r="B218" s="24" t="str">
        <x:v>批量永久删除</x:v>
      </x:c>
      <x:c r="C218" s="24" t="str">
        <x:v>P17</x:v>
      </x:c>
      <x:c r="D218" s="24" t="str">
        <x:v>本轮主线</x:v>
      </x:c>
      <x:c r="E218" s="24" t="str">
        <x:v>T12</x:v>
      </x:c>
      <x:c r="F218" s="24" t="str">
        <x:v>AC-Z-03</x:v>
      </x:c>
      <x:c r="G218" s="24" t="str">
        <x:v>tests/e2e/project-library.spec.ts</x:v>
      </x:c>
      <x:c r="H218" s="24" t="str">
        <x:v>所有选项均通过检查</x:v>
      </x:c>
      <x:c r="I218" s="24" t="str">
        <x:v>先列被阻止项，安全项仍需单独数量确认</x:v>
      </x:c>
      <x:c r="J218" s="24" t="str">
        <x:v>不把部分成功说成全成功</x:v>
      </x:c>
      <x:c r="K218" s="24" t="str">
        <x:v>不可撤销</x:v>
      </x:c>
      <x:c r="L218" s="24" t="str">
        <x:v>本地，不计费</x:v>
      </x:c>
      <x:c r="M218" s="26" t="str">
        <x:v>待实施</x:v>
      </x:c>
      <x:c r="N218" s="24" t="str"/>
      <x:c r="O218" s="24" t="str">
        <x:v>Design 1.0</x:v>
      </x:c>
    </x:row>
    <x:row r="219" ht="92" customHeight="1">
      <x:c r="A219" s="24" t="str">
        <x:v>F-01</x:v>
      </x:c>
      <x:c r="B219" s="24" t="str">
        <x:v>以只读方式打开</x:v>
      </x:c>
      <x:c r="C219" s="24" t="str">
        <x:v>P20</x:v>
      </x:c>
      <x:c r="D219" s="24" t="str">
        <x:v>本轮主线</x:v>
      </x:c>
      <x:c r="E219" s="24" t="str">
        <x:v>T06</x:v>
      </x:c>
      <x:c r="F219" s="24" t="str">
        <x:v>AC-F-01</x:v>
      </x:c>
      <x:c r="G219" s="24" t="str">
        <x:v>tests/unit/project-lease.test.ts</x:v>
      </x:c>
      <x:c r="H219" s="24" t="str">
        <x:v>另标签持有项目写锁</x:v>
      </x:c>
      <x:c r="I219" s="24" t="str">
        <x:v>允许查看和备份，禁止编辑/收费提交</x:v>
      </x:c>
      <x:c r="J219" s="24" t="str">
        <x:v>显示当前写者时间不泄漏其他会话Key</x:v>
      </x:c>
      <x:c r="K219" s="24" t="str">
        <x:v>不夺锁</x:v>
      </x:c>
      <x:c r="L219" s="24" t="str">
        <x:v>本地，不计费</x:v>
      </x:c>
      <x:c r="M219" s="26" t="str">
        <x:v>待实施</x:v>
      </x:c>
      <x:c r="N219" s="24" t="str"/>
      <x:c r="O219" s="24" t="str">
        <x:v>Design 1.0</x:v>
      </x:c>
    </x:row>
    <x:row r="220" ht="92" customHeight="1">
      <x:c r="A220" s="24" t="str">
        <x:v>F-02</x:v>
      </x:c>
      <x:c r="B220" s="24" t="str">
        <x:v>接管编辑</x:v>
      </x:c>
      <x:c r="C220" s="24" t="str">
        <x:v>P20</x:v>
      </x:c>
      <x:c r="D220" s="24" t="str">
        <x:v>本轮主线</x:v>
      </x:c>
      <x:c r="E220" s="24" t="str">
        <x:v>T06</x:v>
      </x:c>
      <x:c r="F220" s="24" t="str">
        <x:v>AC-F-02</x:v>
      </x:c>
      <x:c r="G220" s="24" t="str">
        <x:v>tests/unit/project-lease.test.ts</x:v>
      </x:c>
      <x:c r="H220" s="24" t="str">
        <x:v>旧租约失效或用户明确接管</x:v>
      </x:c>
      <x:c r="I220" s="24" t="str">
        <x:v>重新读revision后获得写权限</x:v>
      </x:c>
      <x:c r="J220" s="24" t="str">
        <x:v>旧标签立刻只读；活动任务不重发</x:v>
      </x:c>
      <x:c r="K220" s="24" t="str">
        <x:v>单写者租约</x:v>
      </x:c>
      <x:c r="L220" s="24" t="str">
        <x:v>本地，不计费</x:v>
      </x:c>
      <x:c r="M220" s="26" t="str">
        <x:v>待实施</x:v>
      </x:c>
      <x:c r="N220" s="24" t="str"/>
      <x:c r="O220" s="24" t="str">
        <x:v>Design 1.0</x:v>
      </x:c>
    </x:row>
    <x:row r="221" ht="92" customHeight="1">
      <x:c r="A221" s="24" t="str">
        <x:v>F-03</x:v>
      </x:c>
      <x:c r="B221" s="24" t="str">
        <x:v>保存为冲突副本</x:v>
      </x:c>
      <x:c r="C221" s="24" t="str">
        <x:v>P20</x:v>
      </x:c>
      <x:c r="D221" s="24" t="str">
        <x:v>本轮主线</x:v>
      </x:c>
      <x:c r="E221" s="24" t="str">
        <x:v>T38</x:v>
      </x:c>
      <x:c r="F221" s="24" t="str">
        <x:v>AC-F-03</x:v>
      </x:c>
      <x:c r="G221" s="24" t="str">
        <x:v>tests/e2e/recovery-diagnostics.spec.ts</x:v>
      </x:c>
      <x:c r="H221" s="24" t="str">
        <x:v>数据冲突</x:v>
      </x:c>
      <x:c r="I221" s="24" t="str">
        <x:v>新projectId保留当前草稿，不覆盖对端</x:v>
      </x:c>
      <x:c r="J221" s="24" t="str">
        <x:v>存储不足可导出文件</x:v>
      </x:c>
      <x:c r="K221" s="24" t="str">
        <x:v>新副本</x:v>
      </x:c>
      <x:c r="L221" s="24" t="str">
        <x:v>本地，不计费</x:v>
      </x:c>
      <x:c r="M221" s="26" t="str">
        <x:v>待实施</x:v>
      </x:c>
      <x:c r="N221" s="24" t="str"/>
      <x:c r="O221" s="24" t="str">
        <x:v>Design 1.0</x:v>
      </x:c>
    </x:row>
    <x:row r="222" ht="92" customHeight="1">
      <x:c r="A222" s="24" t="str">
        <x:v>F-04</x:v>
      </x:c>
      <x:c r="B222" s="24" t="str">
        <x:v>丢弃本地草稿并重载</x:v>
      </x:c>
      <x:c r="C222" s="24" t="str">
        <x:v>P20</x:v>
      </x:c>
      <x:c r="D222" s="24" t="str">
        <x:v>本轮主线</x:v>
      </x:c>
      <x:c r="E222" s="24" t="str">
        <x:v>T38</x:v>
      </x:c>
      <x:c r="F222" s="24" t="str">
        <x:v>AC-F-04</x:v>
      </x:c>
      <x:c r="G222" s="24" t="str">
        <x:v>tests/e2e/recovery-diagnostics.spec.ts</x:v>
      </x:c>
      <x:c r="H222" s="24" t="str">
        <x:v>明确确认</x:v>
      </x:c>
      <x:c r="I222" s="24" t="str">
        <x:v>恢复持久化最新revision</x:v>
      </x:c>
      <x:c r="J222" s="24" t="str">
        <x:v>提示丢失未保存内容</x:v>
      </x:c>
      <x:c r="K222" s="24" t="str">
        <x:v>不可撤销前备份入口</x:v>
      </x:c>
      <x:c r="L222" s="24" t="str">
        <x:v>本地，不计费</x:v>
      </x:c>
      <x:c r="M222" s="26" t="str">
        <x:v>待实施</x:v>
      </x:c>
      <x:c r="N222" s="24" t="str"/>
      <x:c r="O222" s="24" t="str">
        <x:v>Design 1.0</x:v>
      </x:c>
    </x:row>
    <x:row r="223" ht="92" customHeight="1">
      <x:c r="A223" s="24" t="str">
        <x:v>F-05</x:v>
      </x:c>
      <x:c r="B223" s="24" t="str">
        <x:v>继续原任务查询</x:v>
      </x:c>
      <x:c r="C223" s="24" t="str">
        <x:v>P20</x:v>
      </x:c>
      <x:c r="D223" s="24" t="str">
        <x:v>本轮主线</x:v>
      </x:c>
      <x:c r="E223" s="24" t="str">
        <x:v>T28</x:v>
      </x:c>
      <x:c r="F223" s="24" t="str">
        <x:v>AC-F-05</x:v>
      </x:c>
      <x:c r="G223" s="24" t="str">
        <x:v>tests/unit/video-polling.test.ts</x:v>
      </x:c>
      <x:c r="H223" s="24" t="str">
        <x:v>恢复场景</x:v>
      </x:c>
      <x:c r="I223" s="24" t="str">
        <x:v>按原连接、原Key、原taskId查询</x:v>
      </x:c>
      <x:c r="J223" s="24" t="str">
        <x:v>未知保留；不重提</x:v>
      </x:c>
      <x:c r="K223" s="24" t="str">
        <x:v>更新查询状态</x:v>
      </x:c>
      <x:c r="L223" s="24" t="str">
        <x:v>GET status</x:v>
      </x:c>
      <x:c r="M223" s="26" t="str">
        <x:v>待实施</x:v>
      </x:c>
      <x:c r="N223" s="24" t="str"/>
      <x:c r="O223" s="24" t="str">
        <x:v>Design 1.0</x:v>
      </x:c>
    </x:row>
    <x:row r="224" ht="92" customHeight="1">
      <x:c r="A224" s="24" t="str">
        <x:v>F-06</x:v>
      </x:c>
      <x:c r="B224" s="24" t="str">
        <x:v>导出紧急草稿</x:v>
      </x:c>
      <x:c r="C224" s="24" t="str">
        <x:v>P20</x:v>
      </x:c>
      <x:c r="D224" s="24" t="str">
        <x:v>本轮主线</x:v>
      </x:c>
      <x:c r="E224" s="24" t="str">
        <x:v>T38</x:v>
      </x:c>
      <x:c r="F224" s="24" t="str">
        <x:v>AC-F-06</x:v>
      </x:c>
      <x:c r="G224" s="24" t="str">
        <x:v>tests/e2e/recovery-diagnostics.spec.ts</x:v>
      </x:c>
      <x:c r="H224" s="24" t="str">
        <x:v>本地写入失败</x:v>
      </x:c>
      <x:c r="I224" s="24" t="str">
        <x:v>从内存导出结构，标资源可能不完整</x:v>
      </x:c>
      <x:c r="J224" s="24" t="str">
        <x:v>浏览器下载失败显示可复制JSON</x:v>
      </x:c>
      <x:c r="K224" s="24" t="str">
        <x:v>保留现场</x:v>
      </x:c>
      <x:c r="L224" s="24" t="str">
        <x:v>本地，不计费</x:v>
      </x:c>
      <x:c r="M224" s="26" t="str">
        <x:v>待实施</x:v>
      </x:c>
      <x:c r="N224" s="24" t="str"/>
      <x:c r="O224" s="24" t="str">
        <x:v>Design 1.0</x:v>
      </x:c>
    </x:row>
    <x:row r="225" ht="92" customHeight="1">
      <x:c r="A225" s="24" t="str">
        <x:v>X-01</x:v>
      </x:c>
      <x:c r="B225" s="24" t="str">
        <x:v>生图参数与生成</x:v>
      </x:c>
      <x:c r="C225" s="24" t="str">
        <x:v>P18</x:v>
      </x:c>
      <x:c r="D225" s="24" t="str">
        <x:v>条件功能：仅门控/说明测试，执行另需契约</x:v>
      </x:c>
      <x:c r="E225" s="24" t="str">
        <x:v>T43</x:v>
      </x:c>
      <x:c r="F225" s="24" t="str">
        <x:v>AC-X-01</x:v>
      </x:c>
      <x:c r="G225" s="24" t="str">
        <x:v>tests/unit/optional-capabilities.test.ts</x:v>
      </x:c>
      <x:c r="H225" s="24" t="str">
        <x:v>未来Core图片契约全部验证</x:v>
      </x:c>
      <x:c r="I225" s="24" t="str">
        <x:v>图像模型/尺寸/质量/数量/透明参数预检后确认</x:v>
      </x:c>
      <x:c r="J225" s="24" t="str">
        <x:v>当前无公开契约则完全隐藏执行按钮</x:v>
      </x:c>
      <x:c r="K225" s="24" t="str">
        <x:v>每次输出独立asset与run</x:v>
      </x:c>
      <x:c r="L225" s="24" t="str">
        <x:v>未来图片接口；不得绕Core</x:v>
      </x:c>
      <x:c r="M225" s="26" t="str">
        <x:v>待实施</x:v>
      </x:c>
      <x:c r="N225" s="24" t="str"/>
      <x:c r="O225" s="24" t="str">
        <x:v>Design 1.0</x:v>
      </x:c>
    </x:row>
    <x:row r="226" ht="92" customHeight="1">
      <x:c r="A226" s="24" t="str">
        <x:v>X-02</x:v>
      </x:c>
      <x:c r="B226" s="24" t="str">
        <x:v>参考图编辑</x:v>
      </x:c>
      <x:c r="C226" s="24" t="str">
        <x:v>P18</x:v>
      </x:c>
      <x:c r="D226" s="24" t="str">
        <x:v>条件功能：仅门控/说明测试，执行另需契约</x:v>
      </x:c>
      <x:c r="E226" s="24" t="str">
        <x:v>T43</x:v>
      </x:c>
      <x:c r="F226" s="24" t="str">
        <x:v>AC-X-02</x:v>
      </x:c>
      <x:c r="G226" s="24" t="str">
        <x:v>tests/unit/optional-capabilities.test.ts</x:v>
      </x:c>
      <x:c r="H226" s="24" t="str">
        <x:v>未来契约支持该参考/遮罩</x:v>
      </x:c>
      <x:c r="I226" s="24" t="str">
        <x:v>原图只读，编辑产生新结果</x:v>
      </x:c>
      <x:c r="J226" s="24" t="str">
        <x:v>不把一般参考当精确局部编辑</x:v>
      </x:c>
      <x:c r="K226" s="24" t="str">
        <x:v>保留原图与差异</x:v>
      </x:c>
      <x:c r="L226" s="24" t="str">
        <x:v>未来受控图片编辑接口</x:v>
      </x:c>
      <x:c r="M226" s="26" t="str">
        <x:v>待实施</x:v>
      </x:c>
      <x:c r="N226" s="24" t="str"/>
      <x:c r="O226" s="24" t="str">
        <x:v>Design 1.0</x:v>
      </x:c>
    </x:row>
    <x:row r="227" ht="92" customHeight="1">
      <x:c r="A227" s="24" t="str">
        <x:v>X-03</x:v>
      </x:c>
      <x:c r="B227" s="24" t="str">
        <x:v>音频生成</x:v>
      </x:c>
      <x:c r="C227" s="24" t="str">
        <x:v>P18</x:v>
      </x:c>
      <x:c r="D227" s="24" t="str">
        <x:v>条件功能：仅门控/说明测试，执行另需契约</x:v>
      </x:c>
      <x:c r="E227" s="24" t="str">
        <x:v>T43</x:v>
      </x:c>
      <x:c r="F227" s="24" t="str">
        <x:v>AC-X-03</x:v>
      </x:c>
      <x:c r="G227" s="24" t="str">
        <x:v>tests/unit/optional-capabilities.test.ts</x:v>
      </x:c>
      <x:c r="H227" s="24" t="str">
        <x:v>未来Core音频契约已开放</x:v>
      </x:c>
      <x:c r="I227" s="24" t="str">
        <x:v>文本/音色/语速/格式确认后执行</x:v>
      </x:c>
      <x:c r="J227" s="24" t="str">
        <x:v>当前仅本地音频预览，生成隐藏</x:v>
      </x:c>
      <x:c r="K227" s="24" t="str">
        <x:v>独立run和输出</x:v>
      </x:c>
      <x:c r="L227" s="24" t="str">
        <x:v>未来音频接口</x:v>
      </x:c>
      <x:c r="M227" s="26" t="str">
        <x:v>待实施</x:v>
      </x:c>
      <x:c r="N227" s="24" t="str"/>
      <x:c r="O227" s="24" t="str">
        <x:v>Design 1.0</x:v>
      </x:c>
    </x:row>
    <x:row r="228" ht="92" customHeight="1">
      <x:c r="A228" s="24" t="str">
        <x:v>X-04</x:v>
      </x:c>
      <x:c r="B228" s="24" t="str">
        <x:v>远端取消任务</x:v>
      </x:c>
      <x:c r="C228" s="24" t="str">
        <x:v>P18</x:v>
      </x:c>
      <x:c r="D228" s="24" t="str">
        <x:v>条件功能：仅门控/说明测试，执行另需契约</x:v>
      </x:c>
      <x:c r="E228" s="24" t="str">
        <x:v>T43</x:v>
      </x:c>
      <x:c r="F228" s="24" t="str">
        <x:v>AC-X-04</x:v>
      </x:c>
      <x:c r="G228" s="24" t="str">
        <x:v>tests/unit/optional-capabilities.test.ts</x:v>
      </x:c>
      <x:c r="H228" s="24" t="str">
        <x:v>未来Core普通用户取消接口支持</x:v>
      </x:c>
      <x:c r="I228" s="24" t="str">
        <x:v>显示取消是请求，待服务确认；不承诺退款</x:v>
      </x:c>
      <x:c r="J228" s="24" t="str">
        <x:v>当前无公开取消则无此按钮</x:v>
      </x:c>
      <x:c r="K228" s="24" t="str">
        <x:v>终态以Core为准</x:v>
      </x:c>
      <x:c r="L228" s="24" t="str">
        <x:v>未来受控取消接口</x:v>
      </x:c>
      <x:c r="M228" s="26" t="str">
        <x:v>待实施</x:v>
      </x:c>
      <x:c r="N228" s="24" t="str"/>
      <x:c r="O228" s="24" t="str">
        <x:v>Design 1.0</x:v>
      </x:c>
    </x:row>
    <x:row r="229" ht="92" customHeight="1">
      <x:c r="A229" s="24" t="str">
        <x:v>Y-01</x:v>
      </x:c>
      <x:c r="B229" s="24" t="str">
        <x:v>配置WebDAV备份</x:v>
      </x:c>
      <x:c r="C229" s="24" t="str">
        <x:v>P19</x:v>
      </x:c>
      <x:c r="D229" s="24" t="str">
        <x:v>条件功能：仅门控/说明测试，执行另需契约</x:v>
      </x:c>
      <x:c r="E229" s="24" t="str">
        <x:v>T43</x:v>
      </x:c>
      <x:c r="F229" s="24" t="str">
        <x:v>AC-Y-01</x:v>
      </x:c>
      <x:c r="G229" s="24" t="str">
        <x:v>tests/unit/optional-capabilities.test.ts</x:v>
      </x:c>
      <x:c r="H229" s="24" t="str">
        <x:v>可选备份模块正式启用</x:v>
      </x:c>
      <x:c r="I229" s="24" t="str">
        <x:v>固定授权端点、路径、会话凭据</x:v>
      </x:c>
      <x:c r="J229" s="24" t="str">
        <x:v>不开放任意通用代理；禁用未经部署的端点</x:v>
      </x:c>
      <x:c r="K229" s="24" t="str">
        <x:v>凭据不在普通导出中</x:v>
      </x:c>
      <x:c r="L229" s="24" t="str">
        <x:v>可选授权HTTP模块</x:v>
      </x:c>
      <x:c r="M229" s="26" t="str">
        <x:v>待实施</x:v>
      </x:c>
      <x:c r="N229" s="24" t="str"/>
      <x:c r="O229" s="24" t="str">
        <x:v>Design 1.0</x:v>
      </x:c>
    </x:row>
    <x:row r="230" ht="92" customHeight="1">
      <x:c r="A230" s="24" t="str">
        <x:v>Y-02</x:v>
      </x:c>
      <x:c r="B230" s="24" t="str">
        <x:v>测试备份连接</x:v>
      </x:c>
      <x:c r="C230" s="24" t="str">
        <x:v>P19</x:v>
      </x:c>
      <x:c r="D230" s="24" t="str">
        <x:v>条件功能：仅门控/说明测试，执行另需契约</x:v>
      </x:c>
      <x:c r="E230" s="24" t="str">
        <x:v>T43</x:v>
      </x:c>
      <x:c r="F230" s="24" t="str">
        <x:v>AC-Y-02</x:v>
      </x:c>
      <x:c r="G230" s="24" t="str">
        <x:v>tests/unit/optional-capabilities.test.ts</x:v>
      </x:c>
      <x:c r="H230" s="24" t="str">
        <x:v>用户显式点击</x:v>
      </x:c>
      <x:c r="I230" s="24" t="str">
        <x:v>说明将进行小型探测读写并清理测试项</x:v>
      </x:c>
      <x:c r="J230" s="24" t="str">
        <x:v>失败保留本地项目</x:v>
      </x:c>
      <x:c r="K230" s="24" t="str">
        <x:v>仅探测记录</x:v>
      </x:c>
      <x:c r="L230" s="24" t="str">
        <x:v>可能存储服务费用，不是生成积分</x:v>
      </x:c>
      <x:c r="M230" s="26" t="str">
        <x:v>待实施</x:v>
      </x:c>
      <x:c r="N230" s="24" t="str"/>
      <x:c r="O230" s="24" t="str">
        <x:v>Design 1.0</x:v>
      </x:c>
    </x:row>
    <x:row r="231" ht="92" customHeight="1">
      <x:c r="A231" s="24" t="str">
        <x:v>Y-03</x:v>
      </x:c>
      <x:c r="B231" s="24" t="str">
        <x:v>备份快照</x:v>
      </x:c>
      <x:c r="C231" s="24" t="str">
        <x:v>P19</x:v>
      </x:c>
      <x:c r="D231" s="24" t="str">
        <x:v>条件功能：仅门控/说明测试，执行另需契约</x:v>
      </x:c>
      <x:c r="E231" s="24" t="str">
        <x:v>T43</x:v>
      </x:c>
      <x:c r="F231" s="24" t="str">
        <x:v>AC-Y-03</x:v>
      </x:c>
      <x:c r="G231" s="24" t="str">
        <x:v>tests/unit/optional-capabilities.test.ts</x:v>
      </x:c>
      <x:c r="H231" s="24" t="str">
        <x:v>端点可用且用户确认</x:v>
      </x:c>
      <x:c r="I231" s="24" t="str">
        <x:v>按版本号上传完整快照，不覆盖已有版本</x:v>
      </x:c>
      <x:c r="J231" s="24" t="str">
        <x:v>网络失败可重试上传，不重跑视频</x:v>
      </x:c>
      <x:c r="K231" s="24" t="str">
        <x:v>记录备份revision/hash</x:v>
      </x:c>
      <x:c r="L231" s="24" t="str">
        <x:v>备份传输，无生成</x:v>
      </x:c>
      <x:c r="M231" s="26" t="str">
        <x:v>待实施</x:v>
      </x:c>
      <x:c r="N231" s="24" t="str"/>
      <x:c r="O231" s="24" t="str">
        <x:v>Design 1.0</x:v>
      </x:c>
    </x:row>
    <x:row r="232" ht="92" customHeight="1">
      <x:c r="A232" s="24" t="str">
        <x:v>Y-04</x:v>
      </x:c>
      <x:c r="B232" s="24" t="str">
        <x:v>恢复快照</x:v>
      </x:c>
      <x:c r="C232" s="24" t="str">
        <x:v>P19</x:v>
      </x:c>
      <x:c r="D232" s="24" t="str">
        <x:v>条件功能：仅门控/说明测试，执行另需契约</x:v>
      </x:c>
      <x:c r="E232" s="24" t="str">
        <x:v>T43</x:v>
      </x:c>
      <x:c r="F232" s="24" t="str">
        <x:v>AC-Y-04</x:v>
      </x:c>
      <x:c r="G232" s="24" t="str">
        <x:v>tests/unit/optional-capabilities.test.ts</x:v>
      </x:c>
      <x:c r="H232" s="24" t="str">
        <x:v>清单已校验</x:v>
      </x:c>
      <x:c r="I232" s="24" t="str">
        <x:v>默认另存项目；不导入Key和运行授权</x:v>
      </x:c>
      <x:c r="J232" s="24" t="str">
        <x:v>冲突不覆盖；导入未知节点隔离</x:v>
      </x:c>
      <x:c r="K232" s="24" t="str">
        <x:v>新项目</x:v>
      </x:c>
      <x:c r="L232" s="24" t="str">
        <x:v>备份下载，无生成</x:v>
      </x:c>
      <x:c r="M232" s="26" t="str">
        <x:v>待实施</x:v>
      </x:c>
      <x:c r="N232" s="24" t="str"/>
      <x:c r="O232" s="24" t="str">
        <x:v>Design 1.0</x:v>
      </x:c>
    </x:row>
    <x:row r="233" ht="92" customHeight="1">
      <x:c r="A233" s="24" t="str">
        <x:v>Y-05</x:v>
      </x:c>
      <x:c r="B233" s="24" t="str">
        <x:v>断开备份</x:v>
      </x:c>
      <x:c r="C233" s="24" t="str">
        <x:v>P19</x:v>
      </x:c>
      <x:c r="D233" s="24" t="str">
        <x:v>条件功能：仅门控/说明测试，执行另需契约</x:v>
      </x:c>
      <x:c r="E233" s="24" t="str">
        <x:v>T43</x:v>
      </x:c>
      <x:c r="F233" s="24" t="str">
        <x:v>AC-Y-05</x:v>
      </x:c>
      <x:c r="G233" s="24" t="str">
        <x:v>tests/unit/optional-capabilities.test.ts</x:v>
      </x:c>
      <x:c r="H233" s="24" t="str">
        <x:v>用户确认</x:v>
      </x:c>
      <x:c r="I233" s="24" t="str">
        <x:v>清会话凭据，保留本地与远端已有备份</x:v>
      </x:c>
      <x:c r="J233" s="24" t="str">
        <x:v>不冒充删除远端数据</x:v>
      </x:c>
      <x:c r="K233" s="24" t="str">
        <x:v>设置更新</x:v>
      </x:c>
      <x:c r="L233" s="24" t="str">
        <x:v>不生成</x:v>
      </x:c>
      <x:c r="M233" s="26" t="str">
        <x:v>待实施</x:v>
      </x:c>
      <x:c r="N233" s="24" t="str"/>
      <x:c r="O233" s="24" t="str">
        <x:v>Design 1.0</x:v>
      </x:c>
    </x:row>
    <x:row r="234" ht="92" customHeight="1">
      <x:c r="A234" s="24" t="str">
        <x:v>PG01</x:v>
      </x:c>
      <x:c r="B234" s="24" t="str">
        <x:v>导航：提示词生成</x:v>
      </x:c>
      <x:c r="C234" s="24" t="str">
        <x:v>P21/P22/P23</x:v>
      </x:c>
      <x:c r="D234" s="24" t="str">
        <x:v>本轮主线</x:v>
      </x:c>
      <x:c r="E234" s="24" t="str">
        <x:v>T21</x:v>
      </x:c>
      <x:c r="F234" s="24" t="str">
        <x:v>AC-PG01</x:v>
      </x:c>
      <x:c r="G234" s="24" t="str">
        <x:v>tests/e2e/prompt-workspace.spec.ts</x:v>
      </x:c>
      <x:c r="H234" s="24" t="str">
        <x:v>任意页面</x:v>
      </x:c>
      <x:c r="I234" s="24" t="str">
        <x:v>打开 /prompt-generator，恢复当前视频草稿；不自动生成。</x:v>
      </x:c>
      <x:c r="J234" s="24" t="str">
        <x:v>来源项目尚未打开时保留来源标记，不猜测目标。</x:v>
      </x:c>
      <x:c r="K234" s="24" t="str">
        <x:v>见增补数据契约</x:v>
      </x:c>
      <x:c r="L234" s="24" t="str">
        <x:v>仅本地读取</x:v>
      </x:c>
      <x:c r="M234" s="26" t="str">
        <x:v>待实施</x:v>
      </x:c>
      <x:c r="N234" s="24" t="str"/>
      <x:c r="O234" s="24" t="str">
        <x:v>Design 1.1</x:v>
      </x:c>
    </x:row>
    <x:row r="235" ht="92" customHeight="1">
      <x:c r="A235" s="24" t="str">
        <x:v>PG02</x:v>
      </x:c>
      <x:c r="B235" s="24" t="str">
        <x:v>从节点优化</x:v>
      </x:c>
      <x:c r="C235" s="24" t="str">
        <x:v>P21/P22/P23</x:v>
      </x:c>
      <x:c r="D235" s="24" t="str">
        <x:v>本轮主线</x:v>
      </x:c>
      <x:c r="E235" s="24" t="str">
        <x:v>T21</x:v>
      </x:c>
      <x:c r="F235" s="24" t="str">
        <x:v>AC-PG02</x:v>
      </x:c>
      <x:c r="G235" s="24" t="str">
        <x:v>tests/e2e/prompt-workspace.spec.ts</x:v>
      </x:c>
      <x:c r="H235" s="24" t="str">
        <x:v>选中一个文本或视频配置节点</x:v>
      </x:c>
      <x:c r="I235" s="24" t="str">
        <x:v>读取该节点的文本、参数与已连接素材快照，打开右侧面板。</x:v>
      </x:c>
      <x:c r="J235" s="24" t="str">
        <x:v>多选必须明确目标；节点无文本仍可编辑；不扫描其他素材。</x:v>
      </x:c>
      <x:c r="K235" s="24" t="str">
        <x:v>见增补数据契约</x:v>
      </x:c>
      <x:c r="L235" s="24" t="str">
        <x:v>仅本地读取</x:v>
      </x:c>
      <x:c r="M235" s="26" t="str">
        <x:v>待实施</x:v>
      </x:c>
      <x:c r="N235" s="24" t="str"/>
      <x:c r="O235" s="24" t="str">
        <x:v>Design 1.1</x:v>
      </x:c>
    </x:row>
    <x:row r="236" ht="92" customHeight="1">
      <x:c r="A236" s="24" t="str">
        <x:v>PG03</x:v>
      </x:c>
      <x:c r="B236" s="24" t="str">
        <x:v>视频／图片类型切换</x:v>
      </x:c>
      <x:c r="C236" s="24" t="str">
        <x:v>P21/P22/P23</x:v>
      </x:c>
      <x:c r="D236" s="24" t="str">
        <x:v>本轮主线</x:v>
      </x:c>
      <x:c r="E236" s="24" t="str">
        <x:v>T20</x:v>
      </x:c>
      <x:c r="F236" s="24" t="str">
        <x:v>AC-PG03</x:v>
      </x:c>
      <x:c r="G236" s="24" t="str">
        <x:v>tests/unit/prompt-drafts.test.ts</x:v>
      </x:c>
      <x:c r="H236" s="24" t="str">
        <x:v>生成器已打开</x:v>
      </x:c>
      <x:c r="I236" s="24" t="str">
        <x:v>分别保存两种草稿和结果，切换不清空。首版默认视频。</x:v>
      </x:c>
      <x:c r="J236" s="24" t="str">
        <x:v>图片提示词可规划后续复用，但不得因提示词类型开放图片生成接口。</x:v>
      </x:c>
      <x:c r="K236" s="24" t="str">
        <x:v>见增补数据契约</x:v>
      </x:c>
      <x:c r="L236" s="24" t="str">
        <x:v>仅本地编辑</x:v>
      </x:c>
      <x:c r="M236" s="26" t="str">
        <x:v>待实施</x:v>
      </x:c>
      <x:c r="N236" s="24" t="str"/>
      <x:c r="O236" s="24" t="str">
        <x:v>Design 1.1</x:v>
      </x:c>
    </x:row>
    <x:row r="237" ht="92" customHeight="1">
      <x:c r="A237" s="24" t="str">
        <x:v>PG04</x:v>
      </x:c>
      <x:c r="B237" s="24" t="str">
        <x:v>创作方向选择</x:v>
      </x:c>
      <x:c r="C237" s="24" t="str">
        <x:v>P21/P22/P23</x:v>
      </x:c>
      <x:c r="D237" s="24" t="str">
        <x:v>本轮主线</x:v>
      </x:c>
      <x:c r="E237" s="24" t="str">
        <x:v>T18</x:v>
      </x:c>
      <x:c r="F237" s="24" t="str">
        <x:v>AC-PG04</x:v>
      </x:c>
      <x:c r="G237" s="24" t="str">
        <x:v>tests/unit/video-prompt-compiler.test.ts</x:v>
      </x:c>
      <x:c r="H237" s="24" t="str">
        <x:v>有11类场景选项</x:v>
      </x:c>
      <x:c r="I237" s="24" t="str">
        <x:v>显示方向说明与相关字段；保留已输入内容。</x:v>
      </x:c>
      <x:c r="J237" s="24" t="str">
        <x:v>视频编辑、声音、续写均为写作方向，不代表模型原生支持。</x:v>
      </x:c>
      <x:c r="K237" s="24" t="str">
        <x:v>见增补数据契约</x:v>
      </x:c>
      <x:c r="L237" s="24" t="str">
        <x:v>不调用接口</x:v>
      </x:c>
      <x:c r="M237" s="26" t="str">
        <x:v>待实施</x:v>
      </x:c>
      <x:c r="N237" s="24" t="str"/>
      <x:c r="O237" s="24" t="str">
        <x:v>Design 1.1</x:v>
      </x:c>
    </x:row>
    <x:row r="238" ht="92" customHeight="1">
      <x:c r="A238" s="24" t="str">
        <x:v>PG05</x:v>
      </x:c>
      <x:c r="B238" s="24" t="str">
        <x:v>原始需求输入</x:v>
      </x:c>
      <x:c r="C238" s="24" t="str">
        <x:v>P21/P22/P23</x:v>
      </x:c>
      <x:c r="D238" s="24" t="str">
        <x:v>本轮主线</x:v>
      </x:c>
      <x:c r="E238" s="24" t="str">
        <x:v>T20</x:v>
      </x:c>
      <x:c r="F238" s="24" t="str">
        <x:v>AC-PG05</x:v>
      </x:c>
      <x:c r="G238" s="24" t="str">
        <x:v>tests/unit/prompt-drafts.test.ts</x:v>
      </x:c>
      <x:c r="H238" s="24" t="str">
        <x:v>本地可写</x:v>
      </x:c>
      <x:c r="I238" s="24" t="str">
        <x:v>自动保存草稿；输入法组合结束后校验；保留原文。</x:v>
      </x:c>
      <x:c r="J238" s="24" t="str">
        <x:v>空白禁止编译；超长显示字符数及目标接口限制，不静默截断。</x:v>
      </x:c>
      <x:c r="K238" s="24" t="str">
        <x:v>见增补数据契约</x:v>
      </x:c>
      <x:c r="L238" s="24" t="str">
        <x:v>仅本地写入</x:v>
      </x:c>
      <x:c r="M238" s="26" t="str">
        <x:v>待实施</x:v>
      </x:c>
      <x:c r="N238" s="24" t="str"/>
      <x:c r="O238" s="24" t="str">
        <x:v>Design 1.1</x:v>
      </x:c>
    </x:row>
    <x:row r="239" ht="92" customHeight="1">
      <x:c r="A239" s="24" t="str">
        <x:v>PG06</x:v>
      </x:c>
      <x:c r="B239" s="24" t="str">
        <x:v>从画布读取</x:v>
      </x:c>
      <x:c r="C239" s="24" t="str">
        <x:v>P21/P22/P23</x:v>
      </x:c>
      <x:c r="D239" s="24" t="str">
        <x:v>本轮主线</x:v>
      </x:c>
      <x:c r="E239" s="24" t="str">
        <x:v>T21</x:v>
      </x:c>
      <x:c r="F239" s="24" t="str">
        <x:v>AC-PG06</x:v>
      </x:c>
      <x:c r="G239" s="24" t="str">
        <x:v>tests/e2e/prompt-workspace.spec.ts</x:v>
      </x:c>
      <x:c r="H239" s="24" t="str">
        <x:v>来源项目可访问</x:v>
      </x:c>
      <x:c r="I239" s="24" t="str">
        <x:v>展示选中节点和上游引用清单，由用户勾选本次上下文。</x:v>
      </x:c>
      <x:c r="J239" s="24" t="str">
        <x:v>跨Key素材或不可用素材标注；不得自动读取项目全部内容。</x:v>
      </x:c>
      <x:c r="K239" s="24" t="str">
        <x:v>见增补数据契约</x:v>
      </x:c>
      <x:c r="L239" s="24" t="str">
        <x:v>读取本地元数据</x:v>
      </x:c>
      <x:c r="M239" s="26" t="str">
        <x:v>待实施</x:v>
      </x:c>
      <x:c r="N239" s="24" t="str"/>
      <x:c r="O239" s="24" t="str">
        <x:v>Design 1.1</x:v>
      </x:c>
    </x:row>
    <x:row r="240" ht="92" customHeight="1">
      <x:c r="A240" s="24" t="str">
        <x:v>PG07</x:v>
      </x:c>
      <x:c r="B240" s="24" t="str">
        <x:v>选择素材用途</x:v>
      </x:c>
      <x:c r="C240" s="24" t="str">
        <x:v>P21/P22/P23</x:v>
      </x:c>
      <x:c r="D240" s="24" t="str">
        <x:v>本轮主线</x:v>
      </x:c>
      <x:c r="E240" s="24" t="str">
        <x:v>T19</x:v>
      </x:c>
      <x:c r="F240" s="24" t="str">
        <x:v>AC-PG07</x:v>
      </x:c>
      <x:c r="G240" s="24" t="str">
        <x:v>tests/unit/prompt-validation.test.ts</x:v>
      </x:c>
      <x:c r="H240" s="24" t="str">
        <x:v>已有素材引用</x:v>
      </x:c>
      <x:c r="I240" s="24" t="str">
        <x:v>绑定稳定 assetId，标注人物、场景、动作、运镜或说明。</x:v>
      </x:c>
      <x:c r="J240" s="24" t="str">
        <x:v>文本说明不等于看过视频；未分析时不出现“已识别”。</x:v>
      </x:c>
      <x:c r="K240" s="24" t="str">
        <x:v>见增补数据契约</x:v>
      </x:c>
      <x:c r="L240" s="24" t="str">
        <x:v>不上传媒体</x:v>
      </x:c>
      <x:c r="M240" s="26" t="str">
        <x:v>待实施</x:v>
      </x:c>
      <x:c r="N240" s="24" t="str"/>
      <x:c r="O240" s="24" t="str">
        <x:v>Design 1.1</x:v>
      </x:c>
    </x:row>
    <x:row r="241" ht="92" customHeight="1">
      <x:c r="A241" s="24" t="str">
        <x:v>PG08</x:v>
      </x:c>
      <x:c r="B241" s="24" t="str">
        <x:v>新增外部参考说明</x:v>
      </x:c>
      <x:c r="C241" s="24" t="str">
        <x:v>P21/P22/P23</x:v>
      </x:c>
      <x:c r="D241" s="24" t="str">
        <x:v>本轮主线</x:v>
      </x:c>
      <x:c r="E241" s="24" t="str">
        <x:v>T19</x:v>
      </x:c>
      <x:c r="F241" s="24" t="str">
        <x:v>AC-PG08</x:v>
      </x:c>
      <x:c r="G241" s="24" t="str">
        <x:v>tests/unit/prompt-validation.test.ts</x:v>
      </x:c>
      <x:c r="H241" s="24" t="str">
        <x:v>独立写作模式</x:v>
      </x:c>
      <x:c r="I241" s="24" t="str">
        <x:v>允许标记未绑定的占位引用，用于外部导出。</x:v>
      </x:c>
      <x:c r="J241" s="24" t="str">
        <x:v>插入可执行流程前必须绑定或移除；不能生成不存在的素材ID。</x:v>
      </x:c>
      <x:c r="K241" s="24" t="str">
        <x:v>见增补数据契约</x:v>
      </x:c>
      <x:c r="L241" s="24" t="str">
        <x:v>仅本地编辑</x:v>
      </x:c>
      <x:c r="M241" s="26" t="str">
        <x:v>待实施</x:v>
      </x:c>
      <x:c r="N241" s="24" t="str"/>
      <x:c r="O241" s="24" t="str">
        <x:v>Design 1.1</x:v>
      </x:c>
    </x:row>
    <x:row r="242" ht="92" customHeight="1">
      <x:c r="A242" s="24" t="str">
        <x:v>PG09</x:v>
      </x:c>
      <x:c r="B242" s="24" t="str">
        <x:v>重排／移除引用</x:v>
      </x:c>
      <x:c r="C242" s="24" t="str">
        <x:v>P21/P22/P23</x:v>
      </x:c>
      <x:c r="D242" s="24" t="str">
        <x:v>本轮主线</x:v>
      </x:c>
      <x:c r="E242" s="24" t="str">
        <x:v>T19</x:v>
      </x:c>
      <x:c r="F242" s="24" t="str">
        <x:v>AC-PG09</x:v>
      </x:c>
      <x:c r="G242" s="24" t="str">
        <x:v>tests/unit/prompt-validation.test.ts</x:v>
      </x:c>
      <x:c r="H242" s="24" t="str">
        <x:v>已有引用列表</x:v>
      </x:c>
      <x:c r="I242" s="24" t="str">
        <x:v>别名按类型重排，统一更新文本引用预览，稳定ID不变。</x:v>
      </x:c>
      <x:c r="J242" s="24" t="str">
        <x:v>检测悬空引用，保留旧版本；不删素材文件。</x:v>
      </x:c>
      <x:c r="K242" s="24" t="str">
        <x:v>见增补数据契约</x:v>
      </x:c>
      <x:c r="L242" s="24" t="str">
        <x:v>本地修订</x:v>
      </x:c>
      <x:c r="M242" s="26" t="str">
        <x:v>待实施</x:v>
      </x:c>
      <x:c r="N242" s="24" t="str"/>
      <x:c r="O242" s="24" t="str">
        <x:v>Design 1.1</x:v>
      </x:c>
    </x:row>
    <x:row r="243" ht="92" customHeight="1">
      <x:c r="A243" s="24" t="str">
        <x:v>PG10</x:v>
      </x:c>
      <x:c r="B243" s="24" t="str">
        <x:v>时长与比例编辑</x:v>
      </x:c>
      <x:c r="C243" s="24" t="str">
        <x:v>P21/P22/P23</x:v>
      </x:c>
      <x:c r="D243" s="24" t="str">
        <x:v>本轮主线</x:v>
      </x:c>
      <x:c r="E243" s="24" t="str">
        <x:v>T19</x:v>
      </x:c>
      <x:c r="F243" s="24" t="str">
        <x:v>AC-PG10</x:v>
      </x:c>
      <x:c r="G243" s="24" t="str">
        <x:v>tests/unit/prompt-validation.test.ts</x:v>
      </x:c>
      <x:c r="H243" s="24" t="str">
        <x:v>有目标规格</x:v>
      </x:c>
      <x:c r="I243" s="24" t="str">
        <x:v>需求字段与执行能力并列显示；显式值优先保留。</x:v>
      </x:c>
      <x:c r="J243" s="24" t="str">
        <x:v>文字与表单冲突时打开差异选择，不静默用默认15秒覆盖。</x:v>
      </x:c>
      <x:c r="K243" s="24" t="str">
        <x:v>见增补数据契约</x:v>
      </x:c>
      <x:c r="L243" s="24" t="str">
        <x:v>无接口调用</x:v>
      </x:c>
      <x:c r="M243" s="26" t="str">
        <x:v>待实施</x:v>
      </x:c>
      <x:c r="N243" s="24" t="str"/>
      <x:c r="O243" s="24" t="str">
        <x:v>Design 1.1</x:v>
      </x:c>
    </x:row>
    <x:row r="244" ht="92" customHeight="1">
      <x:c r="A244" s="24" t="str">
        <x:v>PG11</x:v>
      </x:c>
      <x:c r="B244" s="24" t="str">
        <x:v>声音策略编辑</x:v>
      </x:c>
      <x:c r="C244" s="24" t="str">
        <x:v>P21/P22/P23</x:v>
      </x:c>
      <x:c r="D244" s="24" t="str">
        <x:v>本轮主线</x:v>
      </x:c>
      <x:c r="E244" s="24" t="str">
        <x:v>T18</x:v>
      </x:c>
      <x:c r="F244" s="24" t="str">
        <x:v>AC-PG11</x:v>
      </x:c>
      <x:c r="G244" s="24" t="str">
        <x:v>tests/unit/video-prompt-compiler.test.ts</x:v>
      </x:c>
      <x:c r="H244" s="24" t="str">
        <x:v>选择声音写作要求</x:v>
      </x:c>
      <x:c r="I244" s="24" t="str">
        <x:v>分别维护对白、旁白、环境声和音乐描述。</x:v>
      </x:c>
      <x:c r="J244" s="24" t="str">
        <x:v>没有音频输入能力时只输出文字计划，不上传音频文件。</x:v>
      </x:c>
      <x:c r="K244" s="24" t="str">
        <x:v>见增补数据契约</x:v>
      </x:c>
      <x:c r="L244" s="24" t="str">
        <x:v>本地编辑</x:v>
      </x:c>
      <x:c r="M244" s="26" t="str">
        <x:v>待实施</x:v>
      </x:c>
      <x:c r="N244" s="24" t="str"/>
      <x:c r="O244" s="24" t="str">
        <x:v>Design 1.1</x:v>
      </x:c>
    </x:row>
    <x:row r="245" ht="92" customHeight="1">
      <x:c r="A245" s="24" t="str">
        <x:v>PG12</x:v>
      </x:c>
      <x:c r="B245" s="24" t="str">
        <x:v>锁定明确要求</x:v>
      </x:c>
      <x:c r="C245" s="24" t="str">
        <x:v>P21/P22/P23</x:v>
      </x:c>
      <x:c r="D245" s="24" t="str">
        <x:v>本轮主线</x:v>
      </x:c>
      <x:c r="E245" s="24" t="str">
        <x:v>T19</x:v>
      </x:c>
      <x:c r="F245" s="24" t="str">
        <x:v>AC-PG12</x:v>
      </x:c>
      <x:c r="G245" s="24" t="str">
        <x:v>tests/unit/prompt-validation.test.ts</x:v>
      </x:c>
      <x:c r="H245" s="24" t="str">
        <x:v>检测到或手工选定要求</x:v>
      </x:c>
      <x:c r="I245" s="24" t="str">
        <x:v>锁定人物数量、品牌原文、对白、禁止项、比例和时长。</x:v>
      </x:c>
      <x:c r="J245" s="24" t="str">
        <x:v>锁定不是质量保证；发现冲突提示用户解决，不能自动放宽。</x:v>
      </x:c>
      <x:c r="K245" s="24" t="str">
        <x:v>见增补数据契约</x:v>
      </x:c>
      <x:c r="L245" s="24" t="str">
        <x:v>本地编辑</x:v>
      </x:c>
      <x:c r="M245" s="26" t="str">
        <x:v>待实施</x:v>
      </x:c>
      <x:c r="N245" s="24" t="str"/>
      <x:c r="O245" s="24" t="str">
        <x:v>Design 1.1</x:v>
      </x:c>
    </x:row>
    <x:row r="246" ht="92" customHeight="1">
      <x:c r="A246" s="24" t="str">
        <x:v>PG13</x:v>
      </x:c>
      <x:c r="B246" s="24" t="str">
        <x:v>规则整理模式</x:v>
      </x:c>
      <x:c r="C246" s="24" t="str">
        <x:v>P21/P22/P23</x:v>
      </x:c>
      <x:c r="D246" s="24" t="str">
        <x:v>本轮主线</x:v>
      </x:c>
      <x:c r="E246" s="24" t="str">
        <x:v>T18</x:v>
      </x:c>
      <x:c r="F246" s="24" t="str">
        <x:v>AC-PG13</x:v>
      </x:c>
      <x:c r="G246" s="24" t="str">
        <x:v>tests/unit/video-prompt-compiler.test.ts</x:v>
      </x:c>
      <x:c r="H246" s="24" t="str">
        <x:v>无需Core授权</x:v>
      </x:c>
      <x:c r="I246" s="24" t="str">
        <x:v>切换至本地编译器；主按钮标为“本地整理”。</x:v>
      </x:c>
      <x:c r="J246" s="24" t="str">
        <x:v>不得因离线请求API；模式切换不改变原始需求。</x:v>
      </x:c>
      <x:c r="K246" s="24" t="str">
        <x:v>见增补数据契约</x:v>
      </x:c>
      <x:c r="L246" s="24" t="str">
        <x:v>无网络、无生成额度</x:v>
      </x:c>
      <x:c r="M246" s="26" t="str">
        <x:v>待实施</x:v>
      </x:c>
      <x:c r="N246" s="24" t="str"/>
      <x:c r="O246" s="24" t="str">
        <x:v>Design 1.1</x:v>
      </x:c>
    </x:row>
    <x:row r="247" ht="92" customHeight="1">
      <x:c r="A247" s="24" t="str">
        <x:v>PG14</x:v>
      </x:c>
      <x:c r="B247" s="24" t="str">
        <x:v>本地整理</x:v>
      </x:c>
      <x:c r="C247" s="24" t="str">
        <x:v>P21/P22/P23</x:v>
      </x:c>
      <x:c r="D247" s="24" t="str">
        <x:v>本轮主线</x:v>
      </x:c>
      <x:c r="E247" s="24" t="str">
        <x:v>T18</x:v>
      </x:c>
      <x:c r="F247" s="24" t="str">
        <x:v>AC-PG14</x:v>
      </x:c>
      <x:c r="G247" s="24" t="str">
        <x:v>tests/unit/video-prompt-compiler.test.ts</x:v>
      </x:c>
      <x:c r="H247" s="24" t="str">
        <x:v>需求非空且本地保存正常</x:v>
      </x:c>
      <x:c r="I247" s="24" t="str">
        <x:v>生成新草稿版本、参数建议和规则检查提示。</x:v>
      </x:c>
      <x:c r="J247" s="24" t="str">
        <x:v>保留上一结果；不把固定模板描述成模型理解后的最终分镜。</x:v>
      </x:c>
      <x:c r="K247" s="24" t="str">
        <x:v>见增补数据契约</x:v>
      </x:c>
      <x:c r="L247" s="24" t="str">
        <x:v>纯本地运行</x:v>
      </x:c>
      <x:c r="M247" s="26" t="str">
        <x:v>待实施</x:v>
      </x:c>
      <x:c r="N247" s="24" t="str"/>
      <x:c r="O247" s="24" t="str">
        <x:v>Design 1.1</x:v>
      </x:c>
    </x:row>
    <x:row r="248" ht="92" customHeight="1">
      <x:c r="A248" s="24" t="str">
        <x:v>PG15</x:v>
      </x:c>
      <x:c r="B248" s="24" t="str">
        <x:v>AI优化模式</x:v>
      </x:c>
      <x:c r="C248" s="24" t="str">
        <x:v>P21/P22/P23</x:v>
      </x:c>
      <x:c r="D248" s="24" t="str">
        <x:v>本轮主线</x:v>
      </x:c>
      <x:c r="E248" s="24" t="str">
        <x:v>T30</x:v>
      </x:c>
      <x:c r="F248" s="24" t="str">
        <x:v>AC-PG15</x:v>
      </x:c>
      <x:c r="G248" s="24" t="str">
        <x:v>tests/unit/text-optimization.test.ts</x:v>
      </x:c>
      <x:c r="H248" s="24" t="str">
        <x:v>普通Core Key及已确认文字能力</x:v>
      </x:c>
      <x:c r="I248" s="24" t="str">
        <x:v>选择实际文字模型，复用Studio连接档案。</x:v>
      </x:c>
      <x:c r="J248" s="24" t="str">
        <x:v>禁止选择seedance或其他具有视频执行语义的模型；能力未知不可发送。</x:v>
      </x:c>
      <x:c r="K248" s="24" t="str">
        <x:v>见增补数据契约</x:v>
      </x:c>
      <x:c r="L248" s="24" t="str">
        <x:v>切换本身不收费</x:v>
      </x:c>
      <x:c r="M248" s="26" t="str">
        <x:v>待实施</x:v>
      </x:c>
      <x:c r="N248" s="24" t="str"/>
      <x:c r="O248" s="24" t="str">
        <x:v>Design 1.1</x:v>
      </x:c>
    </x:row>
    <x:row r="249" ht="92" customHeight="1">
      <x:c r="A249" s="24" t="str">
        <x:v>PG16</x:v>
      </x:c>
      <x:c r="B249" s="24" t="str">
        <x:v>测试Core连接</x:v>
      </x:c>
      <x:c r="C249" s="24" t="str">
        <x:v>P21/P22/P23</x:v>
      </x:c>
      <x:c r="D249" s="24" t="str">
        <x:v>本轮主线</x:v>
      </x:c>
      <x:c r="E249" s="24" t="str">
        <x:v>T24</x:v>
      </x:c>
      <x:c r="F249" s="24" t="str">
        <x:v>AC-PG16</x:v>
      </x:c>
      <x:c r="G249" s="24" t="str">
        <x:v>tests/unit/core-transport.test.ts</x:v>
      </x:c>
      <x:c r="H249" s="24" t="str">
        <x:v>有连接地址与授权</x:v>
      </x:c>
      <x:c r="I249" s="24" t="str">
        <x:v>仅调用既有健康／模型只读接口，不发送测试聊天。</x:v>
      </x:c>
      <x:c r="J249" s="24" t="str">
        <x:v>连通不等于chat:invoke已确认；显示能力未知及下一步。</x:v>
      </x:c>
      <x:c r="K249" s="24" t="str">
        <x:v>见增补数据契约</x:v>
      </x:c>
      <x:c r="L249" s="24" t="str">
        <x:v>只读请求</x:v>
      </x:c>
      <x:c r="M249" s="26" t="str">
        <x:v>待实施</x:v>
      </x:c>
      <x:c r="N249" s="24" t="str"/>
      <x:c r="O249" s="24" t="str">
        <x:v>Design 1.1</x:v>
      </x:c>
    </x:row>
    <x:row r="250" ht="92" customHeight="1">
      <x:c r="A250" s="24" t="str">
        <x:v>PG17</x:v>
      </x:c>
      <x:c r="B250" s="24" t="str">
        <x:v>AI优化确认</x:v>
      </x:c>
      <x:c r="C250" s="24" t="str">
        <x:v>P21/P22/P23</x:v>
      </x:c>
      <x:c r="D250" s="24" t="str">
        <x:v>本轮主线</x:v>
      </x:c>
      <x:c r="E250" s="24" t="str">
        <x:v>T30</x:v>
      </x:c>
      <x:c r="F250" s="24" t="str">
        <x:v>AC-PG17</x:v>
      </x:c>
      <x:c r="G250" s="24" t="str">
        <x:v>tests/unit/text-optimization.test.ts</x:v>
      </x:c>
      <x:c r="H250" s="24" t="str">
        <x:v>草稿快照保存成功</x:v>
      </x:c>
      <x:c r="I250" s="24" t="str">
        <x:v>展示发出的文字、参考说明、模型和收费提示，确认后提交一次文本请求。</x:v>
      </x:c>
      <x:c r="J250" s="24" t="str">
        <x:v>无可靠计价不编造积分；媒体二进制默认不发送。</x:v>
      </x:c>
      <x:c r="K250" s="24" t="str">
        <x:v>见增补数据契约</x:v>
      </x:c>
      <x:c r="L250" s="24" t="str">
        <x:v>POST /v1/chat/completions</x:v>
      </x:c>
      <x:c r="M250" s="26" t="str">
        <x:v>待实施</x:v>
      </x:c>
      <x:c r="N250" s="24" t="str"/>
      <x:c r="O250" s="24" t="str">
        <x:v>Design 1.1</x:v>
      </x:c>
    </x:row>
    <x:row r="251" ht="92" customHeight="1">
      <x:c r="A251" s="24" t="str">
        <x:v>PG18</x:v>
      </x:c>
      <x:c r="B251" s="24" t="str">
        <x:v>AI生成中</x:v>
      </x:c>
      <x:c r="C251" s="24" t="str">
        <x:v>P21/P22/P23</x:v>
      </x:c>
      <x:c r="D251" s="24" t="str">
        <x:v>本轮主线</x:v>
      </x:c>
      <x:c r="E251" s="24" t="str">
        <x:v>T30</x:v>
      </x:c>
      <x:c r="F251" s="24" t="str">
        <x:v>AC-PG18</x:v>
      </x:c>
      <x:c r="G251" s="24" t="str">
        <x:v>tests/unit/text-optimization.test.ts</x:v>
      </x:c>
      <x:c r="H251" s="24" t="str">
        <x:v>已有PromptRun</x:v>
      </x:c>
      <x:c r="I251" s="24" t="str">
        <x:v>冻结本次输入快照；允许继续编辑下一草稿，旧请求结果不覆盖新编辑。</x:v>
      </x:c>
      <x:c r="J251" s="24" t="str">
        <x:v>按钮单飞；原草稿和旧版本继续可读。</x:v>
      </x:c>
      <x:c r="K251" s="24" t="str">
        <x:v>见增补数据契约</x:v>
      </x:c>
      <x:c r="L251" s="24" t="str">
        <x:v>不重复提交</x:v>
      </x:c>
      <x:c r="M251" s="26" t="str">
        <x:v>待实施</x:v>
      </x:c>
      <x:c r="N251" s="24" t="str"/>
      <x:c r="O251" s="24" t="str">
        <x:v>Design 1.1</x:v>
      </x:c>
    </x:row>
    <x:row r="252" ht="92" customHeight="1">
      <x:c r="A252" s="24" t="str">
        <x:v>PG19</x:v>
      </x:c>
      <x:c r="B252" s="24" t="str">
        <x:v>停止等待</x:v>
      </x:c>
      <x:c r="C252" s="24" t="str">
        <x:v>P21/P22/P23</x:v>
      </x:c>
      <x:c r="D252" s="24" t="str">
        <x:v>本轮主线</x:v>
      </x:c>
      <x:c r="E252" s="24" t="str">
        <x:v>T30</x:v>
      </x:c>
      <x:c r="F252" s="24" t="str">
        <x:v>AC-PG19</x:v>
      </x:c>
      <x:c r="G252" s="24" t="str">
        <x:v>tests/unit/text-optimization.test.ts</x:v>
      </x:c>
      <x:c r="H252" s="24" t="str">
        <x:v>文本请求进行中</x:v>
      </x:c>
      <x:c r="I252" s="24" t="str">
        <x:v>停止本页读取并标记已停止等待，保留请求标识。</x:v>
      </x:c>
      <x:c r="J252" s="24" t="str">
        <x:v>不宣称上游已取消、未收费或已退款。</x:v>
      </x:c>
      <x:c r="K252" s="24" t="str">
        <x:v>见增补数据契约</x:v>
      </x:c>
      <x:c r="L252" s="24" t="str">
        <x:v>不调用视频取消</x:v>
      </x:c>
      <x:c r="M252" s="26" t="str">
        <x:v>待实施</x:v>
      </x:c>
      <x:c r="N252" s="24" t="str"/>
      <x:c r="O252" s="24" t="str">
        <x:v>Design 1.1</x:v>
      </x:c>
    </x:row>
    <x:row r="253" ht="92" customHeight="1">
      <x:c r="A253" s="24" t="str">
        <x:v>PG20</x:v>
      </x:c>
      <x:c r="B253" s="24" t="str">
        <x:v>重试AI优化</x:v>
      </x:c>
      <x:c r="C253" s="24" t="str">
        <x:v>P21/P22/P23</x:v>
      </x:c>
      <x:c r="D253" s="24" t="str">
        <x:v>本轮主线</x:v>
      </x:c>
      <x:c r="E253" s="24" t="str">
        <x:v>T30</x:v>
      </x:c>
      <x:c r="F253" s="24" t="str">
        <x:v>AC-PG20</x:v>
      </x:c>
      <x:c r="G253" s="24" t="str">
        <x:v>tests/unit/text-optimization.test.ts</x:v>
      </x:c>
      <x:c r="H253" s="24" t="str">
        <x:v>明确失败或结果不确定</x:v>
      </x:c>
      <x:c r="I253" s="24" t="str">
        <x:v>明确失败先检查原记录；未知不自动重发；新优化必须重新确认。</x:v>
      </x:c>
      <x:c r="J253" s="24" t="str">
        <x:v>保留原幂等键／请求关联；不把文本API当作已实现异步查询服务。</x:v>
      </x:c>
      <x:c r="K253" s="24" t="str">
        <x:v>见增补数据契约</x:v>
      </x:c>
      <x:c r="L253" s="24" t="str">
        <x:v>新请求须明确授权</x:v>
      </x:c>
      <x:c r="M253" s="26" t="str">
        <x:v>待实施</x:v>
      </x:c>
      <x:c r="N253" s="24" t="str"/>
      <x:c r="O253" s="24" t="str">
        <x:v>Design 1.1</x:v>
      </x:c>
    </x:row>
    <x:row r="254" ht="92" customHeight="1">
      <x:c r="A254" s="24" t="str">
        <x:v>PG21</x:v>
      </x:c>
      <x:c r="B254" s="24" t="str">
        <x:v>结果格式校验</x:v>
      </x:c>
      <x:c r="C254" s="24" t="str">
        <x:v>P21/P22/P23</x:v>
      </x:c>
      <x:c r="D254" s="24" t="str">
        <x:v>本轮主线</x:v>
      </x:c>
      <x:c r="E254" s="24" t="str">
        <x:v>T31</x:v>
      </x:c>
      <x:c r="F254" s="24" t="str">
        <x:v>AC-PG21</x:v>
      </x:c>
      <x:c r="G254" s="24" t="str">
        <x:v>tests/e2e/prompt-result-parser.spec.ts</x:v>
      </x:c>
      <x:c r="H254" s="24" t="str">
        <x:v>AI返回内容</x:v>
      </x:c>
      <x:c r="I254" s="24" t="str">
        <x:v>先解析结构，核对必填字段、锁定要求、引用和时长。</x:v>
      </x:c>
      <x:c r="J254" s="24" t="str">
        <x:v>解析失败保留原响应为未校验草稿；不自动再次付费请求修复。</x:v>
      </x:c>
      <x:c r="K254" s="24" t="str">
        <x:v>见增补数据契约</x:v>
      </x:c>
      <x:c r="L254" s="24" t="str">
        <x:v>本地校验</x:v>
      </x:c>
      <x:c r="M254" s="26" t="str">
        <x:v>待实施</x:v>
      </x:c>
      <x:c r="N254" s="24" t="str"/>
      <x:c r="O254" s="24" t="str">
        <x:v>Design 1.1</x:v>
      </x:c>
    </x:row>
    <x:row r="255" ht="92" customHeight="1">
      <x:c r="A255" s="24" t="str">
        <x:v>PG22</x:v>
      </x:c>
      <x:c r="B255" s="24" t="str">
        <x:v>编辑最终提示词</x:v>
      </x:c>
      <x:c r="C255" s="24" t="str">
        <x:v>P21/P22/P23</x:v>
      </x:c>
      <x:c r="D255" s="24" t="str">
        <x:v>本轮主线</x:v>
      </x:c>
      <x:c r="E255" s="24" t="str">
        <x:v>T20</x:v>
      </x:c>
      <x:c r="F255" s="24" t="str">
        <x:v>AC-PG22</x:v>
      </x:c>
      <x:c r="G255" s="24" t="str">
        <x:v>tests/unit/prompt-drafts.test.ts</x:v>
      </x:c>
      <x:c r="H255" s="24" t="str">
        <x:v>有草稿结果</x:v>
      </x:c>
      <x:c r="I255" s="24" t="str">
        <x:v>编辑正文并标记人工修订；保留AI原文与来源版本。</x:v>
      </x:c>
      <x:c r="J255" s="24" t="str">
        <x:v>修改使原校验结果过期，必须重新检查。</x:v>
      </x:c>
      <x:c r="K255" s="24" t="str">
        <x:v>见增补数据契约</x:v>
      </x:c>
      <x:c r="L255" s="24" t="str">
        <x:v>仅本地写入</x:v>
      </x:c>
      <x:c r="M255" s="26" t="str">
        <x:v>待实施</x:v>
      </x:c>
      <x:c r="N255" s="24" t="str"/>
      <x:c r="O255" s="24" t="str">
        <x:v>Design 1.1</x:v>
      </x:c>
    </x:row>
    <x:row r="256" ht="92" customHeight="1">
      <x:c r="A256" s="24" t="str">
        <x:v>PG23</x:v>
      </x:c>
      <x:c r="B256" s="24" t="str">
        <x:v>参数建议／差异页签</x:v>
      </x:c>
      <x:c r="C256" s="24" t="str">
        <x:v>P21/P22/P23</x:v>
      </x:c>
      <x:c r="D256" s="24" t="str">
        <x:v>本轮主线</x:v>
      </x:c>
      <x:c r="E256" s="24" t="str">
        <x:v>T21</x:v>
      </x:c>
      <x:c r="F256" s="24" t="str">
        <x:v>AC-PG23</x:v>
      </x:c>
      <x:c r="G256" s="24" t="str">
        <x:v>tests/e2e/prompt-workspace.spec.ts</x:v>
      </x:c>
      <x:c r="H256" s="24" t="str">
        <x:v>存在输出</x:v>
      </x:c>
      <x:c r="I256" s="24" t="str">
        <x:v>展示原始要求与建议差异、引用映射和不支持项。</x:v>
      </x:c>
      <x:c r="J256" s="24" t="str">
        <x:v>参数是建议，未接受前不改变画布节点。</x:v>
      </x:c>
      <x:c r="K256" s="24" t="str">
        <x:v>见增补数据契约</x:v>
      </x:c>
      <x:c r="L256" s="24" t="str">
        <x:v>本地读取</x:v>
      </x:c>
      <x:c r="M256" s="26" t="str">
        <x:v>待实施</x:v>
      </x:c>
      <x:c r="N256" s="24" t="str"/>
      <x:c r="O256" s="24" t="str">
        <x:v>Design 1.1</x:v>
      </x:c>
    </x:row>
    <x:row r="257" ht="92" customHeight="1">
      <x:c r="A257" s="24" t="str">
        <x:v>PG24</x:v>
      </x:c>
      <x:c r="B257" s="24" t="str">
        <x:v>镜头草案</x:v>
      </x:c>
      <x:c r="C257" s="24" t="str">
        <x:v>P21/P22/P23</x:v>
      </x:c>
      <x:c r="D257" s="24" t="str">
        <x:v>本轮主线</x:v>
      </x:c>
      <x:c r="E257" s="24" t="str">
        <x:v>T19</x:v>
      </x:c>
      <x:c r="F257" s="24" t="str">
        <x:v>AC-PG24</x:v>
      </x:c>
      <x:c r="G257" s="24" t="str">
        <x:v>tests/unit/prompt-validation.test.ts</x:v>
      </x:c>
      <x:c r="H257" s="24" t="str">
        <x:v>目标时长超过单任务能力或用户主动拆镜</x:v>
      </x:c>
      <x:c r="I257" s="24" t="str">
        <x:v>输出结构化镜头草案及段落时长，总和可核对。</x:v>
      </x:c>
      <x:c r="J257" s="24" t="str">
        <x:v>分镜不是拼接或自动续写；未经确认不创建收费任务。</x:v>
      </x:c>
      <x:c r="K257" s="24" t="str">
        <x:v>见增补数据契约</x:v>
      </x:c>
      <x:c r="L257" s="24" t="str">
        <x:v>本地规划或已确认文本优化</x:v>
      </x:c>
      <x:c r="M257" s="26" t="str">
        <x:v>待实施</x:v>
      </x:c>
      <x:c r="N257" s="24" t="str"/>
      <x:c r="O257" s="24" t="str">
        <x:v>Design 1.1</x:v>
      </x:c>
    </x:row>
    <x:row r="258" ht="92" customHeight="1">
      <x:c r="A258" s="24" t="str">
        <x:v>PG25</x:v>
      </x:c>
      <x:c r="B258" s="24" t="str">
        <x:v>复制最终文本</x:v>
      </x:c>
      <x:c r="C258" s="24" t="str">
        <x:v>P21/P22/P23</x:v>
      </x:c>
      <x:c r="D258" s="24" t="str">
        <x:v>本轮主线</x:v>
      </x:c>
      <x:c r="E258" s="24" t="str">
        <x:v>T21</x:v>
      </x:c>
      <x:c r="F258" s="24" t="str">
        <x:v>AC-PG25</x:v>
      </x:c>
      <x:c r="G258" s="24" t="str">
        <x:v>tests/e2e/prompt-workspace.spec.ts</x:v>
      </x:c>
      <x:c r="H258" s="24" t="str">
        <x:v>存在可复制正文</x:v>
      </x:c>
      <x:c r="I258" s="24" t="str">
        <x:v>只复制最终提示词，不混入改进说明和内部字段。</x:v>
      </x:c>
      <x:c r="J258" s="24" t="str">
        <x:v>剪贴板失败提供可选中文本，不显示虚假成功。</x:v>
      </x:c>
      <x:c r="K258" s="24" t="str">
        <x:v>见增补数据契约</x:v>
      </x:c>
      <x:c r="L258" s="24" t="str">
        <x:v>无网络</x:v>
      </x:c>
      <x:c r="M258" s="26" t="str">
        <x:v>待实施</x:v>
      </x:c>
      <x:c r="N258" s="24" t="str"/>
      <x:c r="O258" s="24" t="str">
        <x:v>Design 1.1</x:v>
      </x:c>
    </x:row>
    <x:row r="259" ht="92" customHeight="1">
      <x:c r="A259" s="24" t="str">
        <x:v>PG26</x:v>
      </x:c>
      <x:c r="B259" s="24" t="str">
        <x:v>保存到提示词库</x:v>
      </x:c>
      <x:c r="C259" s="24" t="str">
        <x:v>P21/P22/P23</x:v>
      </x:c>
      <x:c r="D259" s="24" t="str">
        <x:v>本轮主线</x:v>
      </x:c>
      <x:c r="E259" s="24" t="str">
        <x:v>T22</x:v>
      </x:c>
      <x:c r="F259" s="24" t="str">
        <x:v>AC-PG26</x:v>
      </x:c>
      <x:c r="G259" s="24" t="str">
        <x:v>tests/e2e/prompt-canvas-commands.spec.ts</x:v>
      </x:c>
      <x:c r="H259" s="24" t="str">
        <x:v>正文非空</x:v>
      </x:c>
      <x:c r="I259" s="24" t="str">
        <x:v>写入P05，保存标题、标签、来源与版本，不复制Key。</x:v>
      </x:c>
      <x:c r="J259" s="24" t="str">
        <x:v>同名可另存或显式更新；失效素材保留说明，不假装可跨项目使用。</x:v>
      </x:c>
      <x:c r="K259" s="24" t="str">
        <x:v>见增补数据契约</x:v>
      </x:c>
      <x:c r="L259" s="24" t="str">
        <x:v>仅本地写入</x:v>
      </x:c>
      <x:c r="M259" s="26" t="str">
        <x:v>待实施</x:v>
      </x:c>
      <x:c r="N259" s="24" t="str"/>
      <x:c r="O259" s="24" t="str">
        <x:v>Design 1.1</x:v>
      </x:c>
    </x:row>
    <x:row r="260" ht="92" customHeight="1">
      <x:c r="A260" s="24" t="str">
        <x:v>PG27</x:v>
      </x:c>
      <x:c r="B260" s="24" t="str">
        <x:v>导出草稿</x:v>
      </x:c>
      <x:c r="C260" s="24" t="str">
        <x:v>P21/P22/P23</x:v>
      </x:c>
      <x:c r="D260" s="24" t="str">
        <x:v>本轮主线</x:v>
      </x:c>
      <x:c r="E260" s="24" t="str">
        <x:v>T20</x:v>
      </x:c>
      <x:c r="F260" s="24" t="str">
        <x:v>AC-PG27</x:v>
      </x:c>
      <x:c r="G260" s="24" t="str">
        <x:v>tests/unit/prompt-drafts.test.ts</x:v>
      </x:c>
      <x:c r="H260" s="24" t="str">
        <x:v>有草稿</x:v>
      </x:c>
      <x:c r="I260" s="24" t="str">
        <x:v>导出 .txt 或结构化JSON，含约束及引用说明，不含凭据。</x:v>
      </x:c>
      <x:c r="J260" s="24" t="str">
        <x:v>未校验与未绑定引用需明确标注；不会自动导出媒体。</x:v>
      </x:c>
      <x:c r="K260" s="24" t="str">
        <x:v>见增补数据契约</x:v>
      </x:c>
      <x:c r="L260" s="24" t="str">
        <x:v>浏览器下载触发</x:v>
      </x:c>
      <x:c r="M260" s="26" t="str">
        <x:v>待实施</x:v>
      </x:c>
      <x:c r="N260" s="24" t="str"/>
      <x:c r="O260" s="24" t="str">
        <x:v>Design 1.1</x:v>
      </x:c>
    </x:row>
    <x:row r="261" ht="92" customHeight="1">
      <x:c r="A261" s="24" t="str">
        <x:v>PG28</x:v>
      </x:c>
      <x:c r="B261" s="24" t="str">
        <x:v>插入画布</x:v>
      </x:c>
      <x:c r="C261" s="24" t="str">
        <x:v>P21/P22/P23</x:v>
      </x:c>
      <x:c r="D261" s="24" t="str">
        <x:v>本轮主线</x:v>
      </x:c>
      <x:c r="E261" s="24" t="str">
        <x:v>T22</x:v>
      </x:c>
      <x:c r="F261" s="24" t="str">
        <x:v>AC-PG28</x:v>
      </x:c>
      <x:c r="G261" s="24" t="str">
        <x:v>tests/e2e/prompt-canvas-commands.spec.ts</x:v>
      </x:c>
      <x:c r="H261" s="24" t="str">
        <x:v>选定目标项目并通过写入检查</x:v>
      </x:c>
      <x:c r="I261" s="24" t="str">
        <x:v>事务性创建一个提示词节点并保存，定位到新节点。</x:v>
      </x:c>
      <x:c r="J261" s="24" t="str">
        <x:v>无目标先选择；保存失败回滚；不覆盖已有节点。</x:v>
      </x:c>
      <x:c r="K261" s="24" t="str">
        <x:v>见增补数据契约</x:v>
      </x:c>
      <x:c r="L261" s="24" t="str">
        <x:v>无生成调用</x:v>
      </x:c>
      <x:c r="M261" s="26" t="str">
        <x:v>待实施</x:v>
      </x:c>
      <x:c r="N261" s="24" t="str"/>
      <x:c r="O261" s="24" t="str">
        <x:v>Design 1.1</x:v>
      </x:c>
    </x:row>
    <x:row r="262" ht="92" customHeight="1">
      <x:c r="A262" s="24" t="str">
        <x:v>PG29</x:v>
      </x:c>
      <x:c r="B262" s="24" t="str">
        <x:v>应用当前节点</x:v>
      </x:c>
      <x:c r="C262" s="24" t="str">
        <x:v>P21/P22/P23</x:v>
      </x:c>
      <x:c r="D262" s="24" t="str">
        <x:v>本轮主线</x:v>
      </x:c>
      <x:c r="E262" s="24" t="str">
        <x:v>T22</x:v>
      </x:c>
      <x:c r="F262" s="24" t="str">
        <x:v>AC-PG29</x:v>
      </x:c>
      <x:c r="G262" s="24" t="str">
        <x:v>tests/e2e/prompt-canvas-commands.spec.ts</x:v>
      </x:c>
      <x:c r="H262" s="24" t="str">
        <x:v>存在来源nodeId与revision</x:v>
      </x:c>
      <x:c r="I262" s="24" t="str">
        <x:v>弹窗对照修改，确认后条件写入并标记下游待更新。</x:v>
      </x:c>
      <x:c r="J262" s="24" t="str">
        <x:v>revision变化则要求比较或另存，不覆盖他人／另一个标签页修改。</x:v>
      </x:c>
      <x:c r="K262" s="24" t="str">
        <x:v>见增补数据契约</x:v>
      </x:c>
      <x:c r="L262" s="24" t="str">
        <x:v>无生成调用</x:v>
      </x:c>
      <x:c r="M262" s="26" t="str">
        <x:v>待实施</x:v>
      </x:c>
      <x:c r="N262" s="24" t="str"/>
      <x:c r="O262" s="24" t="str">
        <x:v>Design 1.1</x:v>
      </x:c>
    </x:row>
    <x:row r="263" ht="92" customHeight="1">
      <x:c r="A263" s="24" t="str">
        <x:v>PG30</x:v>
      </x:c>
      <x:c r="B263" s="24" t="str">
        <x:v>创建视频流程</x:v>
      </x:c>
      <x:c r="C263" s="24" t="str">
        <x:v>P21/P22/P23</x:v>
      </x:c>
      <x:c r="D263" s="24" t="str">
        <x:v>本轮主线</x:v>
      </x:c>
      <x:c r="E263" s="24" t="str">
        <x:v>T22</x:v>
      </x:c>
      <x:c r="F263" s="24" t="str">
        <x:v>AC-PG30</x:v>
      </x:c>
      <x:c r="G263" s="24" t="str">
        <x:v>tests/e2e/prompt-canvas-commands.spec.ts</x:v>
      </x:c>
      <x:c r="H263" s="24" t="str">
        <x:v>提示词可用且引用可执行</x:v>
      </x:c>
      <x:c r="I263" s="24" t="str">
        <x:v>创建提示词、素材连线与视频配置节点；预览后一次性保存。</x:v>
      </x:c>
      <x:c r="J263" s="24" t="str">
        <x:v>不自动点击生成；未支持参数阻止执行，不静默替换。</x:v>
      </x:c>
      <x:c r="K263" s="24" t="str">
        <x:v>见增补数据契约</x:v>
      </x:c>
      <x:c r="L263" s="24" t="str">
        <x:v>仅本地结构变化</x:v>
      </x:c>
      <x:c r="M263" s="26" t="str">
        <x:v>待实施</x:v>
      </x:c>
      <x:c r="N263" s="24" t="str"/>
      <x:c r="O263" s="24" t="str">
        <x:v>Design 1.1</x:v>
      </x:c>
    </x:row>
    <x:row r="264" ht="92" customHeight="1">
      <x:c r="A264" s="24" t="str">
        <x:v>PG31</x:v>
      </x:c>
      <x:c r="B264" s="24" t="str">
        <x:v>历史版本／恢复</x:v>
      </x:c>
      <x:c r="C264" s="24" t="str">
        <x:v>P21/P22/P23</x:v>
      </x:c>
      <x:c r="D264" s="24" t="str">
        <x:v>本轮主线</x:v>
      </x:c>
      <x:c r="E264" s="24" t="str">
        <x:v>T20</x:v>
      </x:c>
      <x:c r="F264" s="24" t="str">
        <x:v>AC-PG31</x:v>
      </x:c>
      <x:c r="G264" s="24" t="str">
        <x:v>tests/unit/prompt-drafts.test.ts</x:v>
      </x:c>
      <x:c r="H264" s="24" t="str">
        <x:v>存在版本历史</x:v>
      </x:c>
      <x:c r="I264" s="24" t="str">
        <x:v>查看或复制指定版本为新草稿。</x:v>
      </x:c>
      <x:c r="J264" s="24" t="str">
        <x:v>不恢复旧Key；旧素材无权限时标明；不重跑任何模型。</x:v>
      </x:c>
      <x:c r="K264" s="24" t="str">
        <x:v>见增补数据契约</x:v>
      </x:c>
      <x:c r="L264" s="24" t="str">
        <x:v>本地修订</x:v>
      </x:c>
      <x:c r="M264" s="26" t="str">
        <x:v>待实施</x:v>
      </x:c>
      <x:c r="N264" s="24" t="str"/>
      <x:c r="O264" s="24" t="str">
        <x:v>Design 1.1</x:v>
      </x:c>
    </x:row>
    <x:row r="265" ht="92" customHeight="1">
      <x:c r="A265" s="24" t="str">
        <x:v>PG32</x:v>
      </x:c>
      <x:c r="B265" s="24" t="str">
        <x:v>清空／离开／恢复草稿</x:v>
      </x:c>
      <x:c r="C265" s="24" t="str">
        <x:v>P21/P22/P23</x:v>
      </x:c>
      <x:c r="D265" s="24" t="str">
        <x:v>本轮主线</x:v>
      </x:c>
      <x:c r="E265" s="24" t="str">
        <x:v>T21</x:v>
      </x:c>
      <x:c r="F265" s="24" t="str">
        <x:v>AC-PG32</x:v>
      </x:c>
      <x:c r="G265" s="24" t="str">
        <x:v>tests/e2e/prompt-workspace.spec.ts</x:v>
      </x:c>
      <x:c r="H265" s="24" t="str">
        <x:v>有未保存变更</x:v>
      </x:c>
      <x:c r="I265" s="24" t="str">
        <x:v>清空需确认；离开先保存，保存失败提供导出；恢复保持输入输出一致。</x:v>
      </x:c>
      <x:c r="J265" s="24" t="str">
        <x:v>不能沿用旧实现切换类型即清空结果的行为。</x:v>
      </x:c>
      <x:c r="K265" s="24" t="str">
        <x:v>见增补数据契约</x:v>
      </x:c>
      <x:c r="L265" s="24" t="str">
        <x:v>不发远端请求</x:v>
      </x:c>
      <x:c r="M265" s="26" t="str">
        <x:v>待实施</x:v>
      </x:c>
      <x:c r="N265" s="24" t="str"/>
      <x:c r="O265" s="24" t="str">
        <x:v>Design 1.1</x:v>
      </x:c>
    </x:row>
  </x:sheetData>
  <x:mergeCells>
    <x:mergeCell ref="A1:O2"/>
    <x:mergeCell ref="A3:O3"/>
  </x:mergeCells>
  <x:conditionalFormatting sqref="M6:M265">
    <x:cfRule type="expression" dxfId="4" priority="1">
      <x:formula>M6="通过"</x:formula>
    </x:cfRule>
    <x:cfRule type="expression" dxfId="5" priority="2">
      <x:formula>M6="失败"</x:formula>
    </x:cfRule>
  </x:conditionalFormatting>
  <x:dataValidations count="1">
    <x:dataValidation type="list" sqref="M6:M265">
      <x:formula1>"待实施,实现中,待验证,通过,失败,条件门控通过,范围外（需理由）"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444ccfc7b60497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40" hidden="0" customWidth="1"/>
    <x:col min="4" max="4" width="18" hidden="0" customWidth="1"/>
    <x:col min="5" max="5" width="14" hidden="0" customWidth="1"/>
    <x:col min="6" max="6" width="15" hidden="0" customWidth="1"/>
    <x:col min="7" max="7" width="20" hidden="0" customWidth="1"/>
  </x:cols>
  <x:sheetData>
    <x:row r="1" ht="24" customHeight="1">
      <x:c r="A1" s="8" t="str">
        <x:v>23个页面／面板＋30类弹窗</x:v>
      </x:c>
      <x:c r="B1" s="8"/>
      <x:c r="C1" s="8"/>
      <x:c r="D1" s="8"/>
      <x:c r="E1" s="8"/>
      <x:c r="F1" s="8"/>
      <x:c r="G1" s="8"/>
    </x:row>
    <x:row r="2" ht="24" customHeight="1">
      <x:c r="A2" s="8"/>
      <x:c r="B2" s="8"/>
      <x:c r="C2" s="8"/>
      <x:c r="D2" s="8"/>
      <x:c r="E2" s="8"/>
      <x:c r="F2" s="8"/>
      <x:c r="G2" s="8"/>
    </x:row>
    <x:row r="3" ht="34" customHeight="1">
      <x:c r="A3" s="14" t="str">
        <x:v>页面定位与弹窗归属已映射；视觉与交互均须另行提交证据。</x:v>
      </x:c>
      <x:c r="B3" s="14"/>
      <x:c r="C3" s="14"/>
      <x:c r="D3" s="14"/>
      <x:c r="E3" s="14"/>
      <x:c r="F3" s="14"/>
      <x:c r="G3" s="14"/>
    </x:row>
    <x:row r="4">
      <x:c r="A4" s="3"/>
      <x:c r="B4" s="3"/>
      <x:c r="C4" s="3"/>
      <x:c r="D4" s="3"/>
      <x:c r="E4" s="3"/>
      <x:c r="F4" s="3"/>
      <x:c r="G4" s="3"/>
    </x:row>
    <x:row r="5" ht="30" customHeight="1">
      <x:c r="A5" s="20" t="str">
        <x:v>编号</x:v>
      </x:c>
      <x:c r="B5" s="20" t="str">
        <x:v>类型</x:v>
      </x:c>
      <x:c r="C5" s="20" t="str">
        <x:v>名称</x:v>
      </x:c>
      <x:c r="D5" s="20" t="str">
        <x:v>责任任务</x:v>
      </x:c>
      <x:c r="E5" s="20" t="str">
        <x:v>阶段</x:v>
      </x:c>
      <x:c r="F5" s="20" t="str">
        <x:v>验收状态</x:v>
      </x:c>
      <x:c r="G5" s="20" t="str">
        <x:v>来源</x:v>
      </x:c>
    </x:row>
    <x:row r="6" ht="42" customHeight="1">
      <x:c r="A6" s="24" t="str">
        <x:v>P01</x:v>
      </x:c>
      <x:c r="B6" s="24" t="str">
        <x:v>页面/面板</x:v>
      </x:c>
      <x:c r="C6" s="24" t="str">
        <x:v>首次使用与连接引导</x:v>
      </x:c>
      <x:c r="D6" s="24" t="str">
        <x:v>T11</x:v>
      </x:c>
      <x:c r="E6" s="24" t="str">
        <x:v>WP02</x:v>
      </x:c>
      <x:c r="F6" s="26" t="str">
        <x:v>未验证</x:v>
      </x:c>
      <x:c r="G6" s="24" t="str">
        <x:v>Design 1.0</x:v>
      </x:c>
    </x:row>
    <x:row r="7" ht="42" customHeight="1">
      <x:c r="A7" s="24" t="str">
        <x:v>P02</x:v>
      </x:c>
      <x:c r="B7" s="24" t="str">
        <x:v>页面/面板</x:v>
      </x:c>
      <x:c r="C7" s="24" t="str">
        <x:v>项目主页</x:v>
      </x:c>
      <x:c r="D7" s="24" t="str">
        <x:v>T12</x:v>
      </x:c>
      <x:c r="E7" s="24" t="str">
        <x:v>WP02</x:v>
      </x:c>
      <x:c r="F7" s="26" t="str">
        <x:v>未验证</x:v>
      </x:c>
      <x:c r="G7" s="24" t="str">
        <x:v>Design 1.0</x:v>
      </x:c>
    </x:row>
    <x:row r="8" ht="42" customHeight="1">
      <x:c r="A8" s="24" t="str">
        <x:v>P03</x:v>
      </x:c>
      <x:c r="B8" s="24" t="str">
        <x:v>页面/面板</x:v>
      </x:c>
      <x:c r="C8" s="24" t="str">
        <x:v>创作画布</x:v>
      </x:c>
      <x:c r="D8" s="24" t="str">
        <x:v>T13</x:v>
      </x:c>
      <x:c r="E8" s="24" t="str">
        <x:v>WP02</x:v>
      </x:c>
      <x:c r="F8" s="26" t="str">
        <x:v>未验证</x:v>
      </x:c>
      <x:c r="G8" s="24" t="str">
        <x:v>Design 1.0</x:v>
      </x:c>
    </x:row>
    <x:row r="9" ht="42" customHeight="1">
      <x:c r="A9" s="24" t="str">
        <x:v>P04</x:v>
      </x:c>
      <x:c r="B9" s="24" t="str">
        <x:v>页面/面板</x:v>
      </x:c>
      <x:c r="C9" s="24" t="str">
        <x:v>素材库</x:v>
      </x:c>
      <x:c r="D9" s="24" t="str">
        <x:v>T16</x:v>
      </x:c>
      <x:c r="E9" s="24" t="str">
        <x:v>WP02</x:v>
      </x:c>
      <x:c r="F9" s="26" t="str">
        <x:v>未验证</x:v>
      </x:c>
      <x:c r="G9" s="24" t="str">
        <x:v>Design 1.0</x:v>
      </x:c>
    </x:row>
    <x:row r="10" ht="42" customHeight="1">
      <x:c r="A10" s="24" t="str">
        <x:v>P05</x:v>
      </x:c>
      <x:c r="B10" s="24" t="str">
        <x:v>页面/面板</x:v>
      </x:c>
      <x:c r="C10" s="24" t="str">
        <x:v>提示词库</x:v>
      </x:c>
      <x:c r="D10" s="24" t="str">
        <x:v>T17</x:v>
      </x:c>
      <x:c r="E10" s="24" t="str">
        <x:v>WP02</x:v>
      </x:c>
      <x:c r="F10" s="26" t="str">
        <x:v>未验证</x:v>
      </x:c>
      <x:c r="G10" s="24" t="str">
        <x:v>Design 1.0</x:v>
      </x:c>
    </x:row>
    <x:row r="11" ht="42" customHeight="1">
      <x:c r="A11" s="24" t="str">
        <x:v>P06</x:v>
      </x:c>
      <x:c r="B11" s="24" t="str">
        <x:v>页面/面板</x:v>
      </x:c>
      <x:c r="C11" s="24" t="str">
        <x:v>任务中心</x:v>
      </x:c>
      <x:c r="D11" s="24" t="str">
        <x:v>T34</x:v>
      </x:c>
      <x:c r="E11" s="24" t="str">
        <x:v>WP05</x:v>
      </x:c>
      <x:c r="F11" s="26" t="str">
        <x:v>未验证</x:v>
      </x:c>
      <x:c r="G11" s="24" t="str">
        <x:v>Design 1.0</x:v>
      </x:c>
    </x:row>
    <x:row r="12" ht="42" customHeight="1">
      <x:c r="A12" s="24" t="str">
        <x:v>P07</x:v>
      </x:c>
      <x:c r="B12" s="24" t="str">
        <x:v>页面/面板</x:v>
      </x:c>
      <x:c r="C12" s="24" t="str">
        <x:v>结果审片</x:v>
      </x:c>
      <x:c r="D12" s="24" t="str">
        <x:v>T35</x:v>
      </x:c>
      <x:c r="E12" s="24" t="str">
        <x:v>WP05</x:v>
      </x:c>
      <x:c r="F12" s="26" t="str">
        <x:v>未验证</x:v>
      </x:c>
      <x:c r="G12" s="24" t="str">
        <x:v>Design 1.0</x:v>
      </x:c>
    </x:row>
    <x:row r="13" ht="42" customHeight="1">
      <x:c r="A13" s="24" t="str">
        <x:v>P08</x:v>
      </x:c>
      <x:c r="B13" s="24" t="str">
        <x:v>页面/面板</x:v>
      </x:c>
      <x:c r="C13" s="24" t="str">
        <x:v>版本比较</x:v>
      </x:c>
      <x:c r="D13" s="24" t="str">
        <x:v>T35</x:v>
      </x:c>
      <x:c r="E13" s="24" t="str">
        <x:v>WP05</x:v>
      </x:c>
      <x:c r="F13" s="26" t="str">
        <x:v>未验证</x:v>
      </x:c>
      <x:c r="G13" s="24" t="str">
        <x:v>Design 1.0</x:v>
      </x:c>
    </x:row>
    <x:row r="14" ht="42" customHeight="1">
      <x:c r="A14" s="24" t="str">
        <x:v>P09</x:v>
      </x:c>
      <x:c r="B14" s="24" t="str">
        <x:v>页面/面板</x:v>
      </x:c>
      <x:c r="C14" s="24" t="str">
        <x:v>Agent 协作</x:v>
      </x:c>
      <x:c r="D14" s="24" t="str">
        <x:v>T42</x:v>
      </x:c>
      <x:c r="E14" s="24" t="str">
        <x:v>WP06</x:v>
      </x:c>
      <x:c r="F14" s="26" t="str">
        <x:v>未验证</x:v>
      </x:c>
      <x:c r="G14" s="24" t="str">
        <x:v>Design 1.0</x:v>
      </x:c>
    </x:row>
    <x:row r="15" ht="42" customHeight="1">
      <x:c r="A15" s="24" t="str">
        <x:v>P10</x:v>
      </x:c>
      <x:c r="B15" s="24" t="str">
        <x:v>页面/面板</x:v>
      </x:c>
      <x:c r="C15" s="24" t="str">
        <x:v>Core 连接设置</x:v>
      </x:c>
      <x:c r="D15" s="24" t="str">
        <x:v>T37</x:v>
      </x:c>
      <x:c r="E15" s="24" t="str">
        <x:v>WP05</x:v>
      </x:c>
      <x:c r="F15" s="26" t="str">
        <x:v>未验证</x:v>
      </x:c>
      <x:c r="G15" s="24" t="str">
        <x:v>Design 1.0</x:v>
      </x:c>
    </x:row>
    <x:row r="16" ht="42" customHeight="1">
      <x:c r="A16" s="24" t="str">
        <x:v>P11</x:v>
      </x:c>
      <x:c r="B16" s="24" t="str">
        <x:v>页面/面板</x:v>
      </x:c>
      <x:c r="C16" s="24" t="str">
        <x:v>模型与能力</x:v>
      </x:c>
      <x:c r="D16" s="24" t="str">
        <x:v>T37</x:v>
      </x:c>
      <x:c r="E16" s="24" t="str">
        <x:v>WP05</x:v>
      </x:c>
      <x:c r="F16" s="26" t="str">
        <x:v>未验证</x:v>
      </x:c>
      <x:c r="G16" s="24" t="str">
        <x:v>Design 1.0</x:v>
      </x:c>
    </x:row>
    <x:row r="17" ht="42" customHeight="1">
      <x:c r="A17" s="24" t="str">
        <x:v>P12</x:v>
      </x:c>
      <x:c r="B17" s="24" t="str">
        <x:v>页面/面板</x:v>
      </x:c>
      <x:c r="C17" s="24" t="str">
        <x:v>外观与操作偏好</x:v>
      </x:c>
      <x:c r="D17" s="24" t="str">
        <x:v>T37</x:v>
      </x:c>
      <x:c r="E17" s="24" t="str">
        <x:v>WP05</x:v>
      </x:c>
      <x:c r="F17" s="26" t="str">
        <x:v>未验证</x:v>
      </x:c>
      <x:c r="G17" s="24" t="str">
        <x:v>Design 1.0</x:v>
      </x:c>
    </x:row>
    <x:row r="18" ht="42" customHeight="1">
      <x:c r="A18" s="24" t="str">
        <x:v>P13</x:v>
      </x:c>
      <x:c r="B18" s="24" t="str">
        <x:v>页面/面板</x:v>
      </x:c>
      <x:c r="C18" s="24" t="str">
        <x:v>本地数据与备份</x:v>
      </x:c>
      <x:c r="D18" s="24" t="str">
        <x:v>T37</x:v>
      </x:c>
      <x:c r="E18" s="24" t="str">
        <x:v>WP05</x:v>
      </x:c>
      <x:c r="F18" s="26" t="str">
        <x:v>未验证</x:v>
      </x:c>
      <x:c r="G18" s="24" t="str">
        <x:v>Design 1.0</x:v>
      </x:c>
    </x:row>
    <x:row r="19" ht="42" customHeight="1">
      <x:c r="A19" s="24" t="str">
        <x:v>P14</x:v>
      </x:c>
      <x:c r="B19" s="24" t="str">
        <x:v>页面/面板</x:v>
      </x:c>
      <x:c r="C19" s="24" t="str">
        <x:v>项目导入导出</x:v>
      </x:c>
      <x:c r="D19" s="24" t="str">
        <x:v>T36</x:v>
      </x:c>
      <x:c r="E19" s="24" t="str">
        <x:v>WP05</x:v>
      </x:c>
      <x:c r="F19" s="26" t="str">
        <x:v>未验证</x:v>
      </x:c>
      <x:c r="G19" s="24" t="str">
        <x:v>Design 1.0</x:v>
      </x:c>
    </x:row>
    <x:row r="20" ht="42" customHeight="1">
      <x:c r="A20" s="24" t="str">
        <x:v>P15</x:v>
      </x:c>
      <x:c r="B20" s="24" t="str">
        <x:v>页面/面板</x:v>
      </x:c>
      <x:c r="C20" s="24" t="str">
        <x:v>活动与诊断</x:v>
      </x:c>
      <x:c r="D20" s="24" t="str">
        <x:v>T38</x:v>
      </x:c>
      <x:c r="E20" s="24" t="str">
        <x:v>WP05</x:v>
      </x:c>
      <x:c r="F20" s="26" t="str">
        <x:v>未验证</x:v>
      </x:c>
      <x:c r="G20" s="24" t="str">
        <x:v>Design 1.0</x:v>
      </x:c>
    </x:row>
    <x:row r="21" ht="42" customHeight="1">
      <x:c r="A21" s="24" t="str">
        <x:v>P16</x:v>
      </x:c>
      <x:c r="B21" s="24" t="str">
        <x:v>页面/面板</x:v>
      </x:c>
      <x:c r="C21" s="24" t="str">
        <x:v>帮助与版本</x:v>
      </x:c>
      <x:c r="D21" s="24" t="str">
        <x:v>T38</x:v>
      </x:c>
      <x:c r="E21" s="24" t="str">
        <x:v>WP05</x:v>
      </x:c>
      <x:c r="F21" s="26" t="str">
        <x:v>未验证</x:v>
      </x:c>
      <x:c r="G21" s="24" t="str">
        <x:v>Design 1.0</x:v>
      </x:c>
    </x:row>
    <x:row r="22" ht="42" customHeight="1">
      <x:c r="A22" s="24" t="str">
        <x:v>P17</x:v>
      </x:c>
      <x:c r="B22" s="24" t="str">
        <x:v>页面/面板</x:v>
      </x:c>
      <x:c r="C22" s="24" t="str">
        <x:v>回收站</x:v>
      </x:c>
      <x:c r="D22" s="24" t="str">
        <x:v>T12</x:v>
      </x:c>
      <x:c r="E22" s="24" t="str">
        <x:v>WP02</x:v>
      </x:c>
      <x:c r="F22" s="26" t="str">
        <x:v>未验证</x:v>
      </x:c>
      <x:c r="G22" s="24" t="str">
        <x:v>Design 1.0</x:v>
      </x:c>
    </x:row>
    <x:row r="23" ht="42" customHeight="1">
      <x:c r="A23" s="24" t="str">
        <x:v>P18</x:v>
      </x:c>
      <x:c r="B23" s="24" t="str">
        <x:v>页面/面板</x:v>
      </x:c>
      <x:c r="C23" s="24" t="str">
        <x:v>扩展媒体能力</x:v>
      </x:c>
      <x:c r="D23" s="24" t="str">
        <x:v>T43</x:v>
      </x:c>
      <x:c r="E23" s="24" t="str">
        <x:v>WP07</x:v>
      </x:c>
      <x:c r="F23" s="26" t="str">
        <x:v>未验证</x:v>
      </x:c>
      <x:c r="G23" s="24" t="str">
        <x:v>Design 1.0</x:v>
      </x:c>
    </x:row>
    <x:row r="24" ht="42" customHeight="1">
      <x:c r="A24" s="24" t="str">
        <x:v>P19</x:v>
      </x:c>
      <x:c r="B24" s="24" t="str">
        <x:v>页面/面板</x:v>
      </x:c>
      <x:c r="C24" s="24" t="str">
        <x:v>可选备份同步</x:v>
      </x:c>
      <x:c r="D24" s="24" t="str">
        <x:v>T43</x:v>
      </x:c>
      <x:c r="E24" s="24" t="str">
        <x:v>WP07</x:v>
      </x:c>
      <x:c r="F24" s="26" t="str">
        <x:v>未验证</x:v>
      </x:c>
      <x:c r="G24" s="24" t="str">
        <x:v>Design 1.0</x:v>
      </x:c>
    </x:row>
    <x:row r="25" ht="42" customHeight="1">
      <x:c r="A25" s="24" t="str">
        <x:v>P20</x:v>
      </x:c>
      <x:c r="B25" s="24" t="str">
        <x:v>页面/面板</x:v>
      </x:c>
      <x:c r="C25" s="24" t="str">
        <x:v>恢复与冲突中心</x:v>
      </x:c>
      <x:c r="D25" s="24" t="str">
        <x:v>T38</x:v>
      </x:c>
      <x:c r="E25" s="24" t="str">
        <x:v>WP05</x:v>
      </x:c>
      <x:c r="F25" s="26" t="str">
        <x:v>未验证</x:v>
      </x:c>
      <x:c r="G25" s="24" t="str">
        <x:v>Design 1.0</x:v>
      </x:c>
    </x:row>
    <x:row r="26" ht="42" customHeight="1">
      <x:c r="A26" s="24" t="str">
        <x:v>P21</x:v>
      </x:c>
      <x:c r="B26" s="24" t="str">
        <x:v>页面/面板</x:v>
      </x:c>
      <x:c r="C26" s="24" t="str">
        <x:v>独立提示词生成工作台</x:v>
      </x:c>
      <x:c r="D26" s="24" t="str">
        <x:v>T21</x:v>
      </x:c>
      <x:c r="E26" s="24" t="str">
        <x:v>WP03</x:v>
      </x:c>
      <x:c r="F26" s="26" t="str">
        <x:v>未验证</x:v>
      </x:c>
      <x:c r="G26" s="24" t="str">
        <x:v>Design 1.1</x:v>
      </x:c>
    </x:row>
    <x:row r="27" ht="42" customHeight="1">
      <x:c r="A27" s="24" t="str">
        <x:v>P22</x:v>
      </x:c>
      <x:c r="B27" s="24" t="str">
        <x:v>页面/面板</x:v>
      </x:c>
      <x:c r="C27" s="24" t="str">
        <x:v>画布内提示词生成面板</x:v>
      </x:c>
      <x:c r="D27" s="24" t="str">
        <x:v>T21</x:v>
      </x:c>
      <x:c r="E27" s="24" t="str">
        <x:v>WP03</x:v>
      </x:c>
      <x:c r="F27" s="26" t="str">
        <x:v>未验证</x:v>
      </x:c>
      <x:c r="G27" s="24" t="str">
        <x:v>Design 1.1</x:v>
      </x:c>
    </x:row>
    <x:row r="28" ht="42" customHeight="1">
      <x:c r="A28" s="24" t="str">
        <x:v>P23</x:v>
      </x:c>
      <x:c r="B28" s="24" t="str">
        <x:v>页面/面板</x:v>
      </x:c>
      <x:c r="C28" s="24" t="str">
        <x:v>草稿结果与历史审阅</x:v>
      </x:c>
      <x:c r="D28" s="24" t="str">
        <x:v>T21</x:v>
      </x:c>
      <x:c r="E28" s="24" t="str">
        <x:v>WP03</x:v>
      </x:c>
      <x:c r="F28" s="26" t="str">
        <x:v>未验证</x:v>
      </x:c>
      <x:c r="G28" s="24" t="str">
        <x:v>Design 1.1</x:v>
      </x:c>
    </x:row>
    <x:row r="29" ht="42" customHeight="1">
      <x:c r="A29" s="24" t="str">
        <x:v>D01</x:v>
      </x:c>
      <x:c r="B29" s="24" t="str">
        <x:v>弹窗</x:v>
      </x:c>
      <x:c r="C29" s="24" t="str">
        <x:v>新建/重命名项目</x:v>
      </x:c>
      <x:c r="D29" s="24" t="str">
        <x:v>T12</x:v>
      </x:c>
      <x:c r="E29" s="24" t="str">
        <x:v>WP02</x:v>
      </x:c>
      <x:c r="F29" s="26" t="str">
        <x:v>未验证</x:v>
      </x:c>
      <x:c r="G29" s="24" t="str">
        <x:v>Design 1.0</x:v>
      </x:c>
    </x:row>
    <x:row r="30" ht="42" customHeight="1">
      <x:c r="A30" s="24" t="str">
        <x:v>D02</x:v>
      </x:c>
      <x:c r="B30" s="24" t="str">
        <x:v>弹窗</x:v>
      </x:c>
      <x:c r="C30" s="24" t="str">
        <x:v>复制项目</x:v>
      </x:c>
      <x:c r="D30" s="24" t="str">
        <x:v>T12</x:v>
      </x:c>
      <x:c r="E30" s="24" t="str">
        <x:v>WP02</x:v>
      </x:c>
      <x:c r="F30" s="26" t="str">
        <x:v>未验证</x:v>
      </x:c>
      <x:c r="G30" s="24" t="str">
        <x:v>Design 1.0</x:v>
      </x:c>
    </x:row>
    <x:row r="31" ht="42" customHeight="1">
      <x:c r="A31" s="24" t="str">
        <x:v>D03</x:v>
      </x:c>
      <x:c r="B31" s="24" t="str">
        <x:v>弹窗</x:v>
      </x:c>
      <x:c r="C31" s="24" t="str">
        <x:v>删除/归档影响</x:v>
      </x:c>
      <x:c r="D31" s="24" t="str">
        <x:v>T08</x:v>
      </x:c>
      <x:c r="E31" s="24" t="str">
        <x:v>WP01</x:v>
      </x:c>
      <x:c r="F31" s="26" t="str">
        <x:v>未验证</x:v>
      </x:c>
      <x:c r="G31" s="24" t="str">
        <x:v>Design 1.0</x:v>
      </x:c>
    </x:row>
    <x:row r="32" ht="42" customHeight="1">
      <x:c r="A32" s="24" t="str">
        <x:v>D04</x:v>
      </x:c>
      <x:c r="B32" s="24" t="str">
        <x:v>弹窗</x:v>
      </x:c>
      <x:c r="C32" s="24" t="str">
        <x:v>文件导入检查</x:v>
      </x:c>
      <x:c r="D32" s="24" t="str">
        <x:v>T07</x:v>
      </x:c>
      <x:c r="E32" s="24" t="str">
        <x:v>WP01</x:v>
      </x:c>
      <x:c r="F32" s="26" t="str">
        <x:v>未验证</x:v>
      </x:c>
      <x:c r="G32" s="24" t="str">
        <x:v>Design 1.0</x:v>
      </x:c>
    </x:row>
    <x:row r="33" ht="42" customHeight="1">
      <x:c r="A33" s="24" t="str">
        <x:v>D05</x:v>
      </x:c>
      <x:c r="B33" s="24" t="str">
        <x:v>弹窗</x:v>
      </x:c>
      <x:c r="C33" s="24" t="str">
        <x:v>生成确认单</x:v>
      </x:c>
      <x:c r="D33" s="24" t="str">
        <x:v>T26</x:v>
      </x:c>
      <x:c r="E33" s="24" t="str">
        <x:v>WP04</x:v>
      </x:c>
      <x:c r="F33" s="26" t="str">
        <x:v>未验证</x:v>
      </x:c>
      <x:c r="G33" s="24" t="str">
        <x:v>Design 1.0</x:v>
      </x:c>
    </x:row>
    <x:row r="34" ht="42" customHeight="1">
      <x:c r="A34" s="24" t="str">
        <x:v>D06</x:v>
      </x:c>
      <x:c r="B34" s="24" t="str">
        <x:v>弹窗</x:v>
      </x:c>
      <x:c r="C34" s="24" t="str">
        <x:v>输入无效清单</x:v>
      </x:c>
      <x:c r="D34" s="24" t="str">
        <x:v>T26</x:v>
      </x:c>
      <x:c r="E34" s="24" t="str">
        <x:v>WP04</x:v>
      </x:c>
      <x:c r="F34" s="26" t="str">
        <x:v>未验证</x:v>
      </x:c>
      <x:c r="G34" s="24" t="str">
        <x:v>Design 1.0</x:v>
      </x:c>
    </x:row>
    <x:row r="35" ht="42" customHeight="1">
      <x:c r="A35" s="24" t="str">
        <x:v>D07</x:v>
      </x:c>
      <x:c r="B35" s="24" t="str">
        <x:v>弹窗</x:v>
      </x:c>
      <x:c r="C35" s="24" t="str">
        <x:v>节点/素材详情</x:v>
      </x:c>
      <x:c r="D35" s="24" t="str">
        <x:v>T16</x:v>
      </x:c>
      <x:c r="E35" s="24" t="str">
        <x:v>WP02</x:v>
      </x:c>
      <x:c r="F35" s="26" t="str">
        <x:v>未验证</x:v>
      </x:c>
      <x:c r="G35" s="24" t="str">
        <x:v>Design 1.0</x:v>
      </x:c>
    </x:row>
    <x:row r="36" ht="42" customHeight="1">
      <x:c r="A36" s="24" t="str">
        <x:v>D08</x:v>
      </x:c>
      <x:c r="B36" s="24" t="str">
        <x:v>弹窗</x:v>
      </x:c>
      <x:c r="C36" s="24" t="str">
        <x:v>分支/改版/续写</x:v>
      </x:c>
      <x:c r="D36" s="24" t="str">
        <x:v>T32</x:v>
      </x:c>
      <x:c r="E36" s="24" t="str">
        <x:v>WP04</x:v>
      </x:c>
      <x:c r="F36" s="26" t="str">
        <x:v>未验证</x:v>
      </x:c>
      <x:c r="G36" s="24" t="str">
        <x:v>Design 1.0</x:v>
      </x:c>
    </x:row>
    <x:row r="37" ht="42" customHeight="1">
      <x:c r="A37" s="24" t="str">
        <x:v>D09</x:v>
      </x:c>
      <x:c r="B37" s="24" t="str">
        <x:v>弹窗</x:v>
      </x:c>
      <x:c r="C37" s="24" t="str">
        <x:v>提示词编辑/变量</x:v>
      </x:c>
      <x:c r="D37" s="24" t="str">
        <x:v>T17</x:v>
      </x:c>
      <x:c r="E37" s="24" t="str">
        <x:v>WP02</x:v>
      </x:c>
      <x:c r="F37" s="26" t="str">
        <x:v>未验证</x:v>
      </x:c>
      <x:c r="G37" s="24" t="str">
        <x:v>Design 1.0</x:v>
      </x:c>
    </x:row>
    <x:row r="38" ht="42" customHeight="1">
      <x:c r="A38" s="24" t="str">
        <x:v>D10</x:v>
      </x:c>
      <x:c r="B38" s="24" t="str">
        <x:v>弹窗</x:v>
      </x:c>
      <x:c r="C38" s="24" t="str">
        <x:v>媒体预览</x:v>
      </x:c>
      <x:c r="D38" s="24" t="str">
        <x:v>T16</x:v>
      </x:c>
      <x:c r="E38" s="24" t="str">
        <x:v>WP02</x:v>
      </x:c>
      <x:c r="F38" s="26" t="str">
        <x:v>未验证</x:v>
      </x:c>
      <x:c r="G38" s="24" t="str">
        <x:v>Design 1.0</x:v>
      </x:c>
    </x:row>
    <x:row r="39" ht="42" customHeight="1">
      <x:c r="A39" s="24" t="str">
        <x:v>D11</x:v>
      </x:c>
      <x:c r="B39" s="24" t="str">
        <x:v>弹窗</x:v>
      </x:c>
      <x:c r="C39" s="24" t="str">
        <x:v>对照版本选择</x:v>
      </x:c>
      <x:c r="D39" s="24" t="str">
        <x:v>T35</x:v>
      </x:c>
      <x:c r="E39" s="24" t="str">
        <x:v>WP05</x:v>
      </x:c>
      <x:c r="F39" s="26" t="str">
        <x:v>未验证</x:v>
      </x:c>
      <x:c r="G39" s="24" t="str">
        <x:v>Design 1.0</x:v>
      </x:c>
    </x:row>
    <x:row r="40" ht="42" customHeight="1">
      <x:c r="A40" s="24" t="str">
        <x:v>D12</x:v>
      </x:c>
      <x:c r="B40" s="24" t="str">
        <x:v>弹窗</x:v>
      </x:c>
      <x:c r="C40" s="24" t="str">
        <x:v>重新授权</x:v>
      </x:c>
      <x:c r="D40" s="24" t="str">
        <x:v>T09</x:v>
      </x:c>
      <x:c r="E40" s="24" t="str">
        <x:v>WP01</x:v>
      </x:c>
      <x:c r="F40" s="26" t="str">
        <x:v>未验证</x:v>
      </x:c>
      <x:c r="G40" s="24" t="str">
        <x:v>Design 1.0</x:v>
      </x:c>
    </x:row>
    <x:row r="41" ht="42" customHeight="1">
      <x:c r="A41" s="24" t="str">
        <x:v>D13</x:v>
      </x:c>
      <x:c r="B41" s="24" t="str">
        <x:v>弹窗</x:v>
      </x:c>
      <x:c r="C41" s="24" t="str">
        <x:v>Agent首次授权</x:v>
      </x:c>
      <x:c r="D41" s="24" t="str">
        <x:v>T39</x:v>
      </x:c>
      <x:c r="E41" s="24" t="str">
        <x:v>WP06</x:v>
      </x:c>
      <x:c r="F41" s="26" t="str">
        <x:v>未验证</x:v>
      </x:c>
      <x:c r="G41" s="24" t="str">
        <x:v>Design 1.0</x:v>
      </x:c>
    </x:row>
    <x:row r="42" ht="42" customHeight="1">
      <x:c r="A42" s="24" t="str">
        <x:v>D14</x:v>
      </x:c>
      <x:c r="B42" s="24" t="str">
        <x:v>弹窗</x:v>
      </x:c>
      <x:c r="C42" s="24" t="str">
        <x:v>Agent提案审阅</x:v>
      </x:c>
      <x:c r="D42" s="24" t="str">
        <x:v>T40</x:v>
      </x:c>
      <x:c r="E42" s="24" t="str">
        <x:v>WP06</x:v>
      </x:c>
      <x:c r="F42" s="26" t="str">
        <x:v>未验证</x:v>
      </x:c>
      <x:c r="G42" s="24" t="str">
        <x:v>Design 1.0</x:v>
      </x:c>
    </x:row>
    <x:row r="43" ht="42" customHeight="1">
      <x:c r="A43" s="24" t="str">
        <x:v>D15</x:v>
      </x:c>
      <x:c r="B43" s="24" t="str">
        <x:v>弹窗</x:v>
      </x:c>
      <x:c r="C43" s="24" t="str">
        <x:v>版本冲突</x:v>
      </x:c>
      <x:c r="D43" s="24" t="str">
        <x:v>T38</x:v>
      </x:c>
      <x:c r="E43" s="24" t="str">
        <x:v>WP05</x:v>
      </x:c>
      <x:c r="F43" s="26" t="str">
        <x:v>未验证</x:v>
      </x:c>
      <x:c r="G43" s="24" t="str">
        <x:v>Design 1.0</x:v>
      </x:c>
    </x:row>
    <x:row r="44" ht="42" customHeight="1">
      <x:c r="A44" s="24" t="str">
        <x:v>D16</x:v>
      </x:c>
      <x:c r="B44" s="24" t="str">
        <x:v>弹窗</x:v>
      </x:c>
      <x:c r="C44" s="24" t="str">
        <x:v>项目包导出</x:v>
      </x:c>
      <x:c r="D44" s="24" t="str">
        <x:v>T36</x:v>
      </x:c>
      <x:c r="E44" s="24" t="str">
        <x:v>WP05</x:v>
      </x:c>
      <x:c r="F44" s="26" t="str">
        <x:v>未验证</x:v>
      </x:c>
      <x:c r="G44" s="24" t="str">
        <x:v>Design 1.0</x:v>
      </x:c>
    </x:row>
    <x:row r="45" ht="42" customHeight="1">
      <x:c r="A45" s="24" t="str">
        <x:v>D17</x:v>
      </x:c>
      <x:c r="B45" s="24" t="str">
        <x:v>弹窗</x:v>
      </x:c>
      <x:c r="C45" s="24" t="str">
        <x:v>项目导入向导</x:v>
      </x:c>
      <x:c r="D45" s="24" t="str">
        <x:v>T36</x:v>
      </x:c>
      <x:c r="E45" s="24" t="str">
        <x:v>WP05</x:v>
      </x:c>
      <x:c r="F45" s="26" t="str">
        <x:v>未验证</x:v>
      </x:c>
      <x:c r="G45" s="24" t="str">
        <x:v>Design 1.0</x:v>
      </x:c>
    </x:row>
    <x:row r="46" ht="42" customHeight="1">
      <x:c r="A46" s="24" t="str">
        <x:v>D18</x:v>
      </x:c>
      <x:c r="B46" s="24" t="str">
        <x:v>弹窗</x:v>
      </x:c>
      <x:c r="C46" s="24" t="str">
        <x:v>重置偏好</x:v>
      </x:c>
      <x:c r="D46" s="24" t="str">
        <x:v>T37</x:v>
      </x:c>
      <x:c r="E46" s="24" t="str">
        <x:v>WP05</x:v>
      </x:c>
      <x:c r="F46" s="26" t="str">
        <x:v>未验证</x:v>
      </x:c>
      <x:c r="G46" s="24" t="str">
        <x:v>Design 1.0</x:v>
      </x:c>
    </x:row>
    <x:row r="47" ht="42" customHeight="1">
      <x:c r="A47" s="24" t="str">
        <x:v>D19</x:v>
      </x:c>
      <x:c r="B47" s="24" t="str">
        <x:v>弹窗</x:v>
      </x:c>
      <x:c r="C47" s="24" t="str">
        <x:v>清空数据/永久删除</x:v>
      </x:c>
      <x:c r="D47" s="24" t="str">
        <x:v>T08</x:v>
      </x:c>
      <x:c r="E47" s="24" t="str">
        <x:v>WP01</x:v>
      </x:c>
      <x:c r="F47" s="26" t="str">
        <x:v>未验证</x:v>
      </x:c>
      <x:c r="G47" s="24" t="str">
        <x:v>Design 1.0</x:v>
      </x:c>
    </x:row>
    <x:row r="48" ht="42" customHeight="1">
      <x:c r="A48" s="24" t="str">
        <x:v>D20</x:v>
      </x:c>
      <x:c r="B48" s="24" t="str">
        <x:v>弹窗</x:v>
      </x:c>
      <x:c r="C48" s="24" t="str">
        <x:v>存储失败恢复</x:v>
      </x:c>
      <x:c r="D48" s="24" t="str">
        <x:v>T38</x:v>
      </x:c>
      <x:c r="E48" s="24" t="str">
        <x:v>WP05</x:v>
      </x:c>
      <x:c r="F48" s="26" t="str">
        <x:v>未验证</x:v>
      </x:c>
      <x:c r="G48" s="24" t="str">
        <x:v>Design 1.0</x:v>
      </x:c>
    </x:row>
    <x:row r="49" ht="42" customHeight="1">
      <x:c r="A49" s="24" t="str">
        <x:v>D21</x:v>
      </x:c>
      <x:c r="B49" s="24" t="str">
        <x:v>弹窗</x:v>
      </x:c>
      <x:c r="C49" s="24" t="str">
        <x:v>任务未知结果</x:v>
      </x:c>
      <x:c r="D49" s="24" t="str">
        <x:v>T27</x:v>
      </x:c>
      <x:c r="E49" s="24" t="str">
        <x:v>WP04</x:v>
      </x:c>
      <x:c r="F49" s="26" t="str">
        <x:v>未验证</x:v>
      </x:c>
      <x:c r="G49" s="24" t="str">
        <x:v>Design 1.0</x:v>
      </x:c>
    </x:row>
    <x:row r="50" ht="42" customHeight="1">
      <x:c r="A50" s="24" t="str">
        <x:v>D22</x:v>
      </x:c>
      <x:c r="B50" s="24" t="str">
        <x:v>弹窗</x:v>
      </x:c>
      <x:c r="C50" s="24" t="str">
        <x:v>导出诊断确认</x:v>
      </x:c>
      <x:c r="D50" s="24" t="str">
        <x:v>T38</x:v>
      </x:c>
      <x:c r="E50" s="24" t="str">
        <x:v>WP05</x:v>
      </x:c>
      <x:c r="F50" s="26" t="str">
        <x:v>未验证</x:v>
      </x:c>
      <x:c r="G50" s="24" t="str">
        <x:v>Design 1.0</x:v>
      </x:c>
    </x:row>
    <x:row r="51" ht="42" customHeight="1">
      <x:c r="A51" s="24" t="str">
        <x:v>D23</x:v>
      </x:c>
      <x:c r="B51" s="24" t="str">
        <x:v>弹窗</x:v>
      </x:c>
      <x:c r="C51" s="24" t="str">
        <x:v>离开未保存编辑</x:v>
      </x:c>
      <x:c r="D51" s="24" t="str">
        <x:v>T11</x:v>
      </x:c>
      <x:c r="E51" s="24" t="str">
        <x:v>WP02</x:v>
      </x:c>
      <x:c r="F51" s="26" t="str">
        <x:v>未验证</x:v>
      </x:c>
      <x:c r="G51" s="24" t="str">
        <x:v>Design 1.0</x:v>
      </x:c>
    </x:row>
    <x:row r="52" ht="42" customHeight="1">
      <x:c r="A52" s="24" t="str">
        <x:v>D24</x:v>
      </x:c>
      <x:c r="B52" s="24" t="str">
        <x:v>弹窗</x:v>
      </x:c>
      <x:c r="C52" s="24" t="str">
        <x:v>多标签页写锁</x:v>
      </x:c>
      <x:c r="D52" s="24" t="str">
        <x:v>T06</x:v>
      </x:c>
      <x:c r="E52" s="24" t="str">
        <x:v>WP01</x:v>
      </x:c>
      <x:c r="F52" s="26" t="str">
        <x:v>未验证</x:v>
      </x:c>
      <x:c r="G52" s="24" t="str">
        <x:v>Design 1.0</x:v>
      </x:c>
    </x:row>
    <x:row r="53" ht="42" customHeight="1">
      <x:c r="A53" s="24" t="str">
        <x:v>PGD01</x:v>
      </x:c>
      <x:c r="B53" s="24" t="str">
        <x:v>弹窗</x:v>
      </x:c>
      <x:c r="C53" s="24" t="str">
        <x:v>清空当前草稿</x:v>
      </x:c>
      <x:c r="D53" s="24" t="str">
        <x:v>T21</x:v>
      </x:c>
      <x:c r="E53" s="24" t="str">
        <x:v>WP03</x:v>
      </x:c>
      <x:c r="F53" s="26" t="str">
        <x:v>未验证</x:v>
      </x:c>
      <x:c r="G53" s="24" t="str">
        <x:v>Design 1.1</x:v>
      </x:c>
    </x:row>
    <x:row r="54" ht="42" customHeight="1">
      <x:c r="A54" s="24" t="str">
        <x:v>PGD02</x:v>
      </x:c>
      <x:c r="B54" s="24" t="str">
        <x:v>弹窗</x:v>
      </x:c>
      <x:c r="C54" s="24" t="str">
        <x:v>AI优化确认</x:v>
      </x:c>
      <x:c r="D54" s="24" t="str">
        <x:v>T30</x:v>
      </x:c>
      <x:c r="E54" s="24" t="str">
        <x:v>WP04</x:v>
      </x:c>
      <x:c r="F54" s="26" t="str">
        <x:v>未验证</x:v>
      </x:c>
      <x:c r="G54" s="24" t="str">
        <x:v>Design 1.1</x:v>
      </x:c>
    </x:row>
    <x:row r="55" ht="42" customHeight="1">
      <x:c r="A55" s="24" t="str">
        <x:v>PGD03</x:v>
      </x:c>
      <x:c r="B55" s="24" t="str">
        <x:v>弹窗</x:v>
      </x:c>
      <x:c r="C55" s="24" t="str">
        <x:v>原始需求与表单冲突</x:v>
      </x:c>
      <x:c r="D55" s="24" t="str">
        <x:v>T19</x:v>
      </x:c>
      <x:c r="E55" s="24" t="str">
        <x:v>WP03</x:v>
      </x:c>
      <x:c r="F55" s="26" t="str">
        <x:v>未验证</x:v>
      </x:c>
      <x:c r="G55" s="24" t="str">
        <x:v>Design 1.1</x:v>
      </x:c>
    </x:row>
    <x:row r="56" ht="42" customHeight="1">
      <x:c r="A56" s="24" t="str">
        <x:v>PGD04</x:v>
      </x:c>
      <x:c r="B56" s="24" t="str">
        <x:v>弹窗</x:v>
      </x:c>
      <x:c r="C56" s="24" t="str">
        <x:v>应用当前节点差异</x:v>
      </x:c>
      <x:c r="D56" s="24" t="str">
        <x:v>T22</x:v>
      </x:c>
      <x:c r="E56" s="24" t="str">
        <x:v>WP03</x:v>
      </x:c>
      <x:c r="F56" s="26" t="str">
        <x:v>未验证</x:v>
      </x:c>
      <x:c r="G56" s="24" t="str">
        <x:v>Design 1.1</x:v>
      </x:c>
    </x:row>
    <x:row r="57" ht="42" customHeight="1">
      <x:c r="A57" s="24" t="str">
        <x:v>PGD05</x:v>
      </x:c>
      <x:c r="B57" s="24" t="str">
        <x:v>弹窗</x:v>
      </x:c>
      <x:c r="C57" s="24" t="str">
        <x:v>插入目标与位置</x:v>
      </x:c>
      <x:c r="D57" s="24" t="str">
        <x:v>T22</x:v>
      </x:c>
      <x:c r="E57" s="24" t="str">
        <x:v>WP03</x:v>
      </x:c>
      <x:c r="F57" s="26" t="str">
        <x:v>未验证</x:v>
      </x:c>
      <x:c r="G57" s="24" t="str">
        <x:v>Design 1.1</x:v>
      </x:c>
    </x:row>
    <x:row r="58" ht="42" customHeight="1">
      <x:c r="A58" s="24" t="str">
        <x:v>PGD06</x:v>
      </x:c>
      <x:c r="B58" s="24" t="str">
        <x:v>弹窗</x:v>
      </x:c>
      <x:c r="C58" s="24" t="str">
        <x:v>未知响应／无效结果</x:v>
      </x:c>
      <x:c r="D58" s="24" t="str">
        <x:v>T31</x:v>
      </x:c>
      <x:c r="E58" s="24" t="str">
        <x:v>WP04</x:v>
      </x:c>
      <x:c r="F58" s="26" t="str">
        <x:v>未验证</x:v>
      </x:c>
      <x:c r="G58" s="24" t="str">
        <x:v>Design 1.1</x:v>
      </x:c>
    </x:row>
  </x:sheetData>
  <x:mergeCells>
    <x:mergeCell ref="A1:G2"/>
    <x:mergeCell ref="A3:G3"/>
  </x:mergeCells>
  <x:conditionalFormatting sqref="F6:F58">
    <x:cfRule type="expression" dxfId="6" priority="1">
      <x:formula>F6="通过"</x:formula>
    </x:cfRule>
    <x:cfRule type="expression" dxfId="7" priority="2">
      <x:formula>F6="失败"</x:formula>
    </x:cfRule>
  </x:conditionalFormatting>
  <x:dataValidations count="1">
    <x:dataValidation type="list" sqref="F6:F58">
      <x:formula1>"未验证,验证中,通过,需修改,条件未开放"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f4b76920ebd4b8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9" hidden="0" customWidth="1"/>
    <x:col min="3" max="3" width="58" hidden="0" customWidth="1"/>
    <x:col min="4" max="4" width="23" hidden="0" customWidth="1"/>
    <x:col min="5" max="5" width="27" hidden="0" customWidth="1"/>
    <x:col min="6" max="6" width="54" hidden="0" customWidth="1"/>
  </x:cols>
  <x:sheetData>
    <x:row r="1" ht="24" customHeight="1">
      <x:c r="A1" s="8" t="str">
        <x:v>12个工程门槛 · 不可自动跳过</x:v>
      </x:c>
      <x:c r="B1" s="8"/>
      <x:c r="C1" s="8"/>
      <x:c r="D1" s="8"/>
      <x:c r="E1" s="8"/>
      <x:c r="F1" s="8"/>
    </x:row>
    <x:row r="2" ht="24" customHeight="1">
      <x:c r="A2" s="8"/>
      <x:c r="B2" s="8"/>
      <x:c r="C2" s="8"/>
      <x:c r="D2" s="8"/>
      <x:c r="E2" s="8"/>
      <x:c r="F2" s="8"/>
    </x:row>
    <x:row r="3" ht="34" customHeight="1">
      <x:c r="A3" s="14" t="str">
        <x:v>G01来源许可、G02视觉核对和G08真实调用授权尚不能视为已解决。</x:v>
      </x:c>
      <x:c r="B3" s="14"/>
      <x:c r="C3" s="14"/>
      <x:c r="D3" s="14"/>
      <x:c r="E3" s="14"/>
      <x:c r="F3" s="14"/>
    </x:row>
    <x:row r="4">
      <x:c r="A4" s="3"/>
      <x:c r="B4" s="3"/>
      <x:c r="C4" s="3"/>
      <x:c r="D4" s="3"/>
      <x:c r="E4" s="3"/>
      <x:c r="F4" s="3"/>
    </x:row>
    <x:row r="5" ht="30" customHeight="1">
      <x:c r="A5" s="20" t="str">
        <x:v>门槛ID</x:v>
      </x:c>
      <x:c r="B5" s="20" t="str">
        <x:v>门槛</x:v>
      </x:c>
      <x:c r="C5" s="20" t="str">
        <x:v>通过条件</x:v>
      </x:c>
      <x:c r="D5" s="20" t="str">
        <x:v>责任任务</x:v>
      </x:c>
      <x:c r="E5" s="20" t="str">
        <x:v>当前状态</x:v>
      </x:c>
      <x:c r="F5" s="20" t="str">
        <x:v>阻断规则</x:v>
      </x:c>
    </x:row>
    <x:row r="6" ht="82" customHeight="1">
      <x:c r="A6" s="24" t="str">
        <x:v>G00</x:v>
      </x:c>
      <x:c r="B6" s="24" t="str">
        <x:v>工作区与代理身份</x:v>
      </x:c>
      <x:c r="C6" s="24" t="str">
        <x:v>TRAEWORK实际根路径、可写性、执行模型id与high档位须由真实工具回执确认</x:v>
      </x:c>
      <x:c r="D6" s="24" t="str">
        <x:v>T01/T03</x:v>
      </x:c>
      <x:c r="E6" s="24" t="str">
        <x:v>待执行核验</x:v>
      </x:c>
      <x:c r="F6" s="24" t="str">
        <x:v>未确认则不改其他目录、不替换模型；文档可交付</x:v>
      </x:c>
    </x:row>
    <x:row r="7" ht="82" customHeight="1">
      <x:c r="A7" s="24" t="str">
        <x:v>G01</x:v>
      </x:c>
      <x:c r="B7" s="24" t="str">
        <x:v>来源许可与产品品牌</x:v>
      </x:c>
      <x:c r="C7" s="24" t="str">
        <x:v>产品UI自有品牌；复用许可和版权保留；README附加前端标识要求发布前澄清</x:v>
      </x:c>
      <x:c r="D7" s="24" t="str">
        <x:v>T01/T47</x:v>
      </x:c>
      <x:c r="E7" s="24" t="str">
        <x:v>发布前待核验</x:v>
      </x:c>
      <x:c r="F7" s="24" t="str">
        <x:v>阻止不合规发布；不妨碍原创界面设计</x:v>
      </x:c>
    </x:row>
    <x:row r="8" ht="82" customHeight="1">
      <x:c r="A8" s="24" t="str">
        <x:v>G02</x:v>
      </x:c>
      <x:c r="B8" s="24" t="str">
        <x:v>视觉设计收口</x:v>
      </x:c>
      <x:c r="C8" s="24" t="str">
        <x:v>关键页面状态像素级评审和深浅/窄屏记录齐全</x:v>
      </x:c>
      <x:c r="D8" s="24" t="str">
        <x:v>T02</x:v>
      </x:c>
      <x:c r="E8" s="24" t="str">
        <x:v>待证据</x:v>
      </x:c>
      <x:c r="F8" s="24" t="str">
        <x:v>只阻止对应产品UI实现，不重开已批准范围</x:v>
      </x:c>
    </x:row>
    <x:row r="9" ht="82" customHeight="1">
      <x:c r="A9" s="24" t="str">
        <x:v>G03</x:v>
      </x:c>
      <x:c r="B9" s="24" t="str">
        <x:v>持久化与单飞</x:v>
      </x:c>
      <x:c r="C9" s="24" t="str">
        <x:v>存储失败不发收费请求；CAS和run dispatch claim有效</x:v>
      </x:c>
      <x:c r="D9" s="24" t="str">
        <x:v>T05/T06/T27</x:v>
      </x:c>
      <x:c r="E9" s="24" t="str">
        <x:v>待实现</x:v>
      </x:c>
      <x:c r="F9" s="24" t="str">
        <x:v>禁止接真实收费</x:v>
      </x:c>
    </x:row>
    <x:row r="10" ht="82" customHeight="1">
      <x:c r="A10" s="24" t="str">
        <x:v>G04</x:v>
      </x:c>
      <x:c r="B10" s="24" t="str">
        <x:v>Core部署能力</x:v>
      </x:c>
      <x:c r="C10" s="24" t="str">
        <x:v>路由、模型、scope、参数、幂等重放和内容下载以测试契约为准</x:v>
      </x:c>
      <x:c r="D10" s="24" t="str">
        <x:v>T23/T24/T48</x:v>
      </x:c>
      <x:c r="E10" s="24" t="str">
        <x:v>待联调</x:v>
      </x:c>
      <x:c r="F10" s="24" t="str">
        <x:v>未知项只展示说明；不调admin、不绕Core</x:v>
      </x:c>
    </x:row>
    <x:row r="11" ht="82" customHeight="1">
      <x:c r="A11" s="24" t="str">
        <x:v>G05</x:v>
      </x:c>
      <x:c r="B11" s="24" t="str">
        <x:v>提示词与视频分离</x:v>
      </x:c>
      <x:c r="C11" s="24" t="str">
        <x:v>文字模型强制textOnly；本地整理和建流程无视频POST</x:v>
      </x:c>
      <x:c r="D11" s="24" t="str">
        <x:v>T18/T22/T30/T31</x:v>
      </x:c>
      <x:c r="E11" s="24" t="str">
        <x:v>待实现</x:v>
      </x:c>
      <x:c r="F11" s="24" t="str">
        <x:v>拒绝视频别名进入文字优化</x:v>
      </x:c>
    </x:row>
    <x:row r="12" ht="82" customHeight="1">
      <x:c r="A12" s="24" t="str">
        <x:v>G06</x:v>
      </x:c>
      <x:c r="B12" s="24" t="str">
        <x:v>未知与账务</x:v>
      </x:c>
      <x:c r="C12" s="24" t="str">
        <x:v>提交不明/内容已就绪/账务待核对分别记录</x:v>
      </x:c>
      <x:c r="D12" s="24" t="str">
        <x:v>T27/T28/T34</x:v>
      </x:c>
      <x:c r="E12" s="24" t="str">
        <x:v>待实现</x:v>
      </x:c>
      <x:c r="F12" s="24" t="str">
        <x:v>不得自动重新计费或称已退款</x:v>
      </x:c>
    </x:row>
    <x:row r="13" ht="82" customHeight="1">
      <x:c r="A13" s="24" t="str">
        <x:v>G07</x:v>
      </x:c>
      <x:c r="B13" s="24" t="str">
        <x:v>条件能力</x:v>
      </x:c>
      <x:c r="C13" s="24" t="str">
        <x:v>生图/音频/远端取消/WebDAV无已验证用户契约不开放</x:v>
      </x:c>
      <x:c r="D13" s="24" t="str">
        <x:v>T32/T43</x:v>
      </x:c>
      <x:c r="E13" s="24" t="str">
        <x:v>条件受限</x:v>
      </x:c>
      <x:c r="F13" s="24" t="str">
        <x:v>仅门控/说明已设计；不计作真实执行通过</x:v>
      </x:c>
    </x:row>
    <x:row r="14" ht="82" customHeight="1">
      <x:c r="A14" s="24" t="str">
        <x:v>G08</x:v>
      </x:c>
      <x:c r="B14" s="24" t="str">
        <x:v>真实调用授权</x:v>
      </x:c>
      <x:c r="C14" s="24" t="str">
        <x:v>独立测试环境、场景/调用次数/消费边界明确</x:v>
      </x:c>
      <x:c r="D14" s="24" t="str">
        <x:v>T48</x:v>
      </x:c>
      <x:c r="E14" s="24" t="str">
        <x:v>待授权</x:v>
      </x:c>
      <x:c r="F14" s="24" t="str">
        <x:v>默认零真实调用；不自动转生产</x:v>
      </x:c>
    </x:row>
    <x:row r="15" ht="82" customHeight="1">
      <x:c r="A15" s="24" t="str">
        <x:v>G09</x:v>
      </x:c>
      <x:c r="B15" s="24" t="str">
        <x:v>全部交互追踪</x:v>
      </x:c>
      <x:c r="C15" s="24" t="str">
        <x:v>260行映射且可执行项有实际行为测试；30弹窗焦点和关闭规则验证</x:v>
      </x:c>
      <x:c r="D15" s="24" t="str">
        <x:v>T44</x:v>
      </x:c>
      <x:c r="E15" s="24" t="str">
        <x:v>计划已映射，执行未验收</x:v>
      </x:c>
      <x:c r="F15" s="24" t="str">
        <x:v>映射数不是通过数</x:v>
      </x:c>
    </x:row>
    <x:row r="16" ht="82" customHeight="1">
      <x:c r="A16" s="24" t="str">
        <x:v>G10</x:v>
      </x:c>
      <x:c r="B16" s="24" t="str">
        <x:v>发布安全</x:v>
      </x:c>
      <x:c r="C16" s="24" t="str">
        <x:v>包扫描、同源代理允许列表、无出网推广、密钥零泄漏、许可齐全</x:v>
      </x:c>
      <x:c r="D16" s="24" t="str">
        <x:v>T45/T47</x:v>
      </x:c>
      <x:c r="E16" s="24" t="str">
        <x:v>待执行</x:v>
      </x:c>
      <x:c r="F16" s="24" t="str">
        <x:v>拒绝发布；不以跳过测试绕过</x:v>
      </x:c>
    </x:row>
    <x:row r="17" ht="82" customHeight="1">
      <x:c r="A17" s="24" t="str">
        <x:v>G11</x:v>
      </x:c>
      <x:c r="B17" s="24" t="str">
        <x:v>版本与回滚</x:v>
      </x:c>
      <x:c r="C17" s="24" t="str">
        <x:v>本地schema兼容、未知run保留；不修改Core财务数据库</x:v>
      </x:c>
      <x:c r="D17" s="24" t="str">
        <x:v>T49/T50</x:v>
      </x:c>
      <x:c r="E17" s="24" t="str">
        <x:v>待执行</x:v>
      </x:c>
      <x:c r="F17" s="24" t="str">
        <x:v>仅回退兼容前端，禁止抹掉新收费追踪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0eb34aa31fec40b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45" hidden="0" customWidth="1"/>
    <x:col min="4" max="4" width="21" hidden="0" customWidth="1"/>
    <x:col min="5" max="5" width="66" hidden="0" customWidth="1"/>
  </x:cols>
  <x:sheetData>
    <x:row r="1" ht="24" customHeight="1">
      <x:c r="A1" s="8" t="str">
        <x:v>25项上游能力处置</x:v>
      </x:c>
      <x:c r="B1" s="8"/>
      <x:c r="C1" s="8"/>
      <x:c r="D1" s="8"/>
      <x:c r="E1" s="8"/>
    </x:row>
    <x:row r="2" ht="24" customHeight="1">
      <x:c r="A2" s="8"/>
      <x:c r="B2" s="8"/>
      <x:c r="C2" s="8"/>
      <x:c r="D2" s="8"/>
      <x:c r="E2" s="8"/>
    </x:row>
    <x:row r="3" ht="34" customHeight="1">
      <x:c r="A3" s="14" t="str">
        <x:v>保留实际版权与许可；运行UI、推广、远程插件与自有命名独立扫描。</x:v>
      </x:c>
      <x:c r="B3" s="14"/>
      <x:c r="C3" s="14"/>
      <x:c r="D3" s="14"/>
      <x:c r="E3" s="14"/>
    </x:row>
    <x:row r="4">
      <x:c r="A4" s="3"/>
      <x:c r="B4" s="3"/>
      <x:c r="C4" s="3"/>
      <x:c r="D4" s="3"/>
      <x:c r="E4" s="3"/>
    </x:row>
    <x:row r="5" ht="30" customHeight="1">
      <x:c r="A5" s="20" t="str">
        <x:v>编号</x:v>
      </x:c>
      <x:c r="B5" s="20" t="str">
        <x:v>原能力</x:v>
      </x:c>
      <x:c r="C5" s="20" t="str">
        <x:v>处置</x:v>
      </x:c>
      <x:c r="D5" s="20" t="str">
        <x:v>目标页面</x:v>
      </x:c>
      <x:c r="E5" s="20" t="str">
        <x:v>边界</x:v>
      </x:c>
    </x:row>
    <x:row r="6" ht="70" customHeight="1">
      <x:c r="A6" s="24" t="str">
        <x:v>U-01</x:v>
      </x:c>
      <x:c r="B6" s="24" t="str">
        <x:v>项目/首页</x:v>
      </x:c>
      <x:c r="C6" s="24" t="str">
        <x:v>保留能力，重写界面</x:v>
      </x:c>
      <x:c r="D6" s="24" t="str">
        <x:v>P01/P02/P17</x:v>
      </x:c>
      <x:c r="E6" s="24" t="str">
        <x:v>迁移到新project schema；不沿用上游站点身份</x:v>
      </x:c>
    </x:row>
    <x:row r="7" ht="70" customHeight="1">
      <x:c r="A7" s="24" t="str">
        <x:v>U-02</x:v>
      </x:c>
      <x:c r="B7" s="24" t="str">
        <x:v>无限画布/连线/缩放</x:v>
      </x:c>
      <x:c r="C7" s="24" t="str">
        <x:v>保留行为内核，重写视觉和命令边界</x:v>
      </x:c>
      <x:c r="D7" s="24" t="str">
        <x:v>P03</x:v>
      </x:c>
      <x:c r="E7" s="24" t="str">
        <x:v>变更不触发生成；连线显式类型与循环检测</x:v>
      </x:c>
    </x:row>
    <x:row r="8" ht="70" customHeight="1">
      <x:c r="A8" s="24" t="str">
        <x:v>U-03</x:v>
      </x:c>
      <x:c r="B8" s="24" t="str">
        <x:v>文本/润色</x:v>
      </x:c>
      <x:c r="C8" s="24" t="str">
        <x:v>保留并改为Core文字适配</x:v>
      </x:c>
      <x:c r="D8" s="24" t="str">
        <x:v>P03/P05</x:v>
      </x:c>
      <x:c r="E8" s="24" t="str">
        <x:v>文字调用有独立成本，不自动改写视频提示词</x:v>
      </x:c>
    </x:row>
    <x:row r="9" ht="70" customHeight="1">
      <x:c r="A9" s="24" t="str">
        <x:v>U-04</x:v>
      </x:c>
      <x:c r="B9" s="24" t="str">
        <x:v>图片素材</x:v>
      </x:c>
      <x:c r="C9" s="24" t="str">
        <x:v>保留导入/查看/参考</x:v>
      </x:c>
      <x:c r="D9" s="24" t="str">
        <x:v>P04/P03</x:v>
      </x:c>
      <x:c r="E9" s="24" t="str">
        <x:v>不宣称支持精确人脸锁定或首帧控制</x:v>
      </x:c>
    </x:row>
    <x:row r="10" ht="70" customHeight="1">
      <x:c r="A10" s="24" t="str">
        <x:v>U-05</x:v>
      </x:c>
      <x:c r="B10" s="24" t="str">
        <x:v>图片生成与改图工作台</x:v>
      </x:c>
      <x:c r="C10" s="24" t="str">
        <x:v>完整定义条件UI，首版隐藏执行</x:v>
      </x:c>
      <x:c r="D10" s="24" t="str">
        <x:v>P18</x:v>
      </x:c>
      <x:c r="E10" s="24" t="str">
        <x:v>Core公开图片契约、权限、预算、测试齐备才开放</x:v>
      </x:c>
    </x:row>
    <x:row r="11" ht="70" customHeight="1">
      <x:c r="A11" s="24" t="str">
        <x:v>U-06</x:v>
      </x:c>
      <x:c r="B11" s="24" t="str">
        <x:v>视频工作台</x:v>
      </x:c>
      <x:c r="C11" s="24" t="str">
        <x:v>合并为统一画布/审片/任务</x:v>
      </x:c>
      <x:c r="D11" s="24" t="str">
        <x:v>P03/P06/P07</x:v>
      </x:c>
      <x:c r="E11" s="24" t="str">
        <x:v>不保留第二套孤立生成记录</x:v>
      </x:c>
    </x:row>
    <x:row r="12" ht="70" customHeight="1">
      <x:c r="A12" s="24" t="str">
        <x:v>U-07</x:v>
      </x:c>
      <x:c r="B12" s="24" t="str">
        <x:v>音频素材与生成</x:v>
      </x:c>
      <x:c r="C12" s="24" t="str">
        <x:v>素材可本地使用；生成条件开放</x:v>
      </x:c>
      <x:c r="D12" s="24" t="str">
        <x:v>P04/P18</x:v>
      </x:c>
      <x:c r="E12" s="24" t="str">
        <x:v>缺Core音频能力不显示生成按钮</x:v>
      </x:c>
    </x:row>
    <x:row r="13" ht="70" customHeight="1">
      <x:c r="A13" s="24" t="str">
        <x:v>U-08</x:v>
      </x:c>
      <x:c r="B13" s="24" t="str">
        <x:v>分组与上游引用</x:v>
      </x:c>
      <x:c r="C13" s="24" t="str">
        <x:v>重构</x:v>
      </x:c>
      <x:c r="D13" s="24" t="str">
        <x:v>P03</x:v>
      </x:c>
      <x:c r="E13" s="24" t="str">
        <x:v>布局分组不默认把所有成员送模型</x:v>
      </x:c>
    </x:row>
    <x:row r="14" ht="70" customHeight="1">
      <x:c r="A14" s="24" t="str">
        <x:v>U-09</x:v>
      </x:c>
      <x:c r="B14" s="24" t="str">
        <x:v>生成模型/多渠道</x:v>
      </x:c>
      <x:c r="C14" s="24" t="str">
        <x:v>改为Core连接与已核验能力</x:v>
      </x:c>
      <x:c r="D14" s="24" t="str">
        <x:v>P10/P11</x:v>
      </x:c>
      <x:c r="E14" s="24" t="str">
        <x:v>不保留外部供应商充值或默认API</x:v>
      </x:c>
    </x:row>
    <x:row r="15" ht="70" customHeight="1">
      <x:c r="A15" s="24" t="str">
        <x:v>U-10</x:v>
      </x:c>
      <x:c r="B15" s="24" t="str">
        <x:v>任务创建/轮询/结果保存</x:v>
      </x:c>
      <x:c r="C15" s="24" t="str">
        <x:v>重写Core适配器与run日志</x:v>
      </x:c>
      <x:c r="D15" s="24" t="str">
        <x:v>P06</x:v>
      </x:c>
      <x:c r="E15" s="24" t="str">
        <x:v>保留幂等身份；执行、查询、下载、账务分离</x:v>
      </x:c>
    </x:row>
    <x:row r="16" ht="70" customHeight="1">
      <x:c r="A16" s="24" t="str">
        <x:v>U-11</x:v>
      </x:c>
      <x:c r="B16" s="24" t="str">
        <x:v>本地Agent/MCP</x:v>
      </x:c>
      <x:c r="C16" s="24" t="str">
        <x:v>保留协议语义，重构授权和品牌</x:v>
      </x:c>
      <x:c r="D16" s="24" t="str">
        <x:v>P09</x:v>
      </x:c>
      <x:c r="E16" s="24" t="str">
        <x:v>不自动安装上游插件，不继承自动放行配置</x:v>
      </x:c>
    </x:row>
    <x:row r="17" ht="70" customHeight="1">
      <x:c r="A17" s="24" t="str">
        <x:v>U-12</x:v>
      </x:c>
      <x:c r="B17" s="24" t="str">
        <x:v>提示词库及默认七个远端源</x:v>
      </x:c>
      <x:c r="C17" s="24" t="str">
        <x:v>本地库保留，默认源全部移除</x:v>
      </x:c>
      <x:c r="D17" s="24" t="str">
        <x:v>P05</x:v>
      </x:c>
      <x:c r="E17" s="24" t="str">
        <x:v>使用原创模板或显式导入，必要素材出处仍保留</x:v>
      </x:c>
    </x:row>
    <x:row r="18" ht="70" customHeight="1">
      <x:c r="A18" s="24" t="str">
        <x:v>U-13</x:v>
      </x:c>
      <x:c r="B18" s="24" t="str">
        <x:v>素材库</x:v>
      </x:c>
      <x:c r="C18" s="24" t="str">
        <x:v>保留，增加引用计数与缺失恢复</x:v>
      </x:c>
      <x:c r="D18" s="24" t="str">
        <x:v>P04</x:v>
      </x:c>
      <x:c r="E18" s="24" t="str">
        <x:v>显式选择才导入；不后台扫硬盘</x:v>
      </x:c>
    </x:row>
    <x:row r="19" ht="70" customHeight="1">
      <x:c r="A19" s="24" t="str">
        <x:v>U-14</x:v>
      </x:c>
      <x:c r="B19" s="24" t="str">
        <x:v>WebDAV同步</x:v>
      </x:c>
      <x:c r="C19" s="24" t="str">
        <x:v>改为可选版本化手动备份</x:v>
      </x:c>
      <x:c r="D19" s="24" t="str">
        <x:v>P19</x:v>
      </x:c>
      <x:c r="E19" s="24" t="str">
        <x:v>非实时协作，冲突另存；默认关闭</x:v>
      </x:c>
    </x:row>
    <x:row r="20" ht="70" customHeight="1">
      <x:c r="A20" s="24" t="str">
        <x:v>U-15</x:v>
      </x:c>
      <x:c r="B20" s="24" t="str">
        <x:v>任意URL远程节点插件</x:v>
      </x:c>
      <x:c r="C20" s="24" t="str">
        <x:v>移除执行与安装入口</x:v>
      </x:c>
      <x:c r="D20" s="24" t="str">
        <x:v>P11</x:v>
      </x:c>
      <x:c r="E20" s="24" t="str">
        <x:v>仅审核过的内置节点；未知节点导入只读隔离</x:v>
      </x:c>
    </x:row>
    <x:row r="21" ht="70" customHeight="1">
      <x:c r="A21" s="24" t="str">
        <x:v>U-16</x:v>
      </x:c>
      <x:c r="B21" s="24" t="str">
        <x:v>自定义接口脚本/脚本编辑器</x:v>
      </x:c>
      <x:c r="C21" s="24" t="str">
        <x:v>移除用户执行入口</x:v>
      </x:c>
      <x:c r="D21" s="24" t="str">
        <x:v>P11</x:v>
      </x:c>
      <x:c r="E21" s="24" t="str">
        <x:v>AI Work专用适配器集中维护，不向网页开放任意代码</x:v>
      </x:c>
    </x:row>
    <x:row r="22" ht="70" customHeight="1">
      <x:c r="A22" s="24" t="str">
        <x:v>U-17</x:v>
      </x:c>
      <x:c r="B22" s="24" t="str">
        <x:v>本地通用代理设置</x:v>
      </x:c>
      <x:c r="C22" s="24" t="str">
        <x:v>改为受部署允许的同源API通道</x:v>
      </x:c>
      <x:c r="D22" s="24" t="str">
        <x:v>P10</x:v>
      </x:c>
      <x:c r="E22" s="24" t="str">
        <x:v>禁止任意URL代理及admin/internal转发</x:v>
      </x:c>
    </x:row>
    <x:row r="23" ht="70" customHeight="1">
      <x:c r="A23" s="24" t="str">
        <x:v>U-18</x:v>
      </x:c>
      <x:c r="B23" s="24" t="str">
        <x:v>生图/音频/视频各自历史</x:v>
      </x:c>
      <x:c r="C23" s="24" t="str">
        <x:v>合并为统一run与素材来源</x:v>
      </x:c>
      <x:c r="D23" s="24" t="str">
        <x:v>P06/P07</x:v>
      </x:c>
      <x:c r="E23" s="24" t="str">
        <x:v>不同能力保留类型，不互相覆盖</x:v>
      </x:c>
    </x:row>
    <x:row r="24" ht="70" customHeight="1">
      <x:c r="A24" s="24" t="str">
        <x:v>U-19</x:v>
      </x:c>
      <x:c r="B24" s="24" t="str">
        <x:v>设置导入导出</x:v>
      </x:c>
      <x:c r="C24" s="24" t="str">
        <x:v>保留脱敏配置导入导出</x:v>
      </x:c>
      <x:c r="D24" s="24" t="str">
        <x:v>P13/P14</x:v>
      </x:c>
      <x:c r="E24" s="24" t="str">
        <x:v>禁止凭据、脚本和自动运行迁移</x:v>
      </x:c>
    </x:row>
    <x:row r="25" ht="70" customHeight="1">
      <x:c r="A25" s="24" t="str">
        <x:v>U-20</x:v>
      </x:c>
      <x:c r="B25" s="24" t="str">
        <x:v>广告/赞助/群聊/捐赠/原域名</x:v>
      </x:c>
      <x:c r="C25" s="24" t="str">
        <x:v>从产品UI和运行资源移除</x:v>
      </x:c>
      <x:c r="D25" s="24" t="str">
        <x:v>全部页面</x:v>
      </x:c>
      <x:c r="E25" s="24" t="str">
        <x:v>不得把上游推广链接换成自动调用</x:v>
      </x:c>
    </x:row>
    <x:row r="26" ht="70" customHeight="1">
      <x:c r="A26" s="24" t="str">
        <x:v>U-21</x:v>
      </x:c>
      <x:c r="B26" s="24" t="str">
        <x:v>名称/logo/favicon/SEO/欢迎页</x:v>
      </x:c>
      <x:c r="C26" s="24" t="str">
        <x:v>自有品牌重做</x:v>
      </x:c>
      <x:c r="D26" s="24" t="str">
        <x:v>全部页面</x:v>
      </x:c>
      <x:c r="E26" s="24" t="str">
        <x:v>默认纯字标AI WORK Studio；命名尚属提案</x:v>
      </x:c>
    </x:row>
    <x:row r="27" ht="70" customHeight="1">
      <x:c r="A27" s="24" t="str">
        <x:v>U-22</x:v>
      </x:c>
      <x:c r="B27" s="24" t="str">
        <x:v>LICENSE/NOTICE/第三方版权</x:v>
      </x:c>
      <x:c r="C27" s="24" t="str">
        <x:v>依法依许可保留并隔离</x:v>
      </x:c>
      <x:c r="D27" s="24" t="str">
        <x:v>P16/发行包</x:v>
      </x:c>
      <x:c r="E27" s="24" t="str">
        <x:v>不列入去品牌删除清单；README额外要求发布前澄清</x:v>
      </x:c>
    </x:row>
    <x:row r="28" ht="70" customHeight="1">
      <x:c r="A28" s="24" t="str">
        <x:v>U-23</x:v>
      </x:c>
      <x:c r="B28" s="24" t="str">
        <x:v>原工作流文件格式</x:v>
      </x:c>
      <x:c r="C28" s="24" t="str">
        <x:v>只读迁移器，不自动导入配置</x:v>
      </x:c>
      <x:c r="D28" s="24" t="str">
        <x:v>P14</x:v>
      </x:c>
      <x:c r="E28" s="24" t="str">
        <x:v>显式选择、版本校验、另存为新项目</x:v>
      </x:c>
    </x:row>
    <x:row r="29" ht="70" customHeight="1">
      <x:c r="A29" s="24" t="str">
        <x:v>U-24</x:v>
      </x:c>
      <x:c r="B29" s="24" t="str">
        <x:v>多语言/主题/快捷键</x:v>
      </x:c>
      <x:c r="C29" s="24" t="str">
        <x:v>保留基础结构，全部文案重写</x:v>
      </x:c>
      <x:c r="D29" s="24" t="str">
        <x:v>P12/P16</x:v>
      </x:c>
      <x:c r="E29" s="24" t="str">
        <x:v>首版简体中文；系统消息中文；模型ID不译造</x:v>
      </x:c>
    </x:row>
    <x:row r="30" ht="70" customHeight="1">
      <x:c r="A30" s="24" t="str">
        <x:v>U-25</x:v>
      </x:c>
      <x:c r="B30" s="24" t="str">
        <x:v>视频拼接/时间线剪辑</x:v>
      </x:c>
      <x:c r="C30" s="24" t="str">
        <x:v>明确不在本轮</x:v>
      </x:c>
      <x:c r="D30" s="24" t="str">
        <x:v>范围外</x:v>
      </x:c>
      <x:c r="E30" s="24" t="str">
        <x:v>用户已暂缓，不以重构名义重新塞入</x:v>
      </x:c>
    </x:row>
  </x:sheetData>
  <x:mergeCells>
    <x:mergeCell ref="A1:E2"/>
    <x:mergeCell ref="A3:E3"/>
  </x:mergeCells>
  <x:pageMargins left="0.7" right="0.7" top="0.75" bottom="0.75" header="0.3" footer="0.3"/>
  <x:tableParts count="1">
    <x:tablePart xmlns:r="http://schemas.openxmlformats.org/officeDocument/2006/relationships" r:id="R847a1ca278e64bd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8" hidden="0" customWidth="1"/>
    <x:col min="3" max="3" width="38" hidden="0" customWidth="1"/>
    <x:col min="4" max="4" width="46" hidden="0" customWidth="1"/>
    <x:col min="5" max="5" width="55" hidden="0" customWidth="1"/>
  </x:cols>
  <x:sheetData>
    <x:row r="1" ht="24" customHeight="1">
      <x:c r="A1" s="8" t="str">
        <x:v>24类错误与安全恢复</x:v>
      </x:c>
      <x:c r="B1" s="8"/>
      <x:c r="C1" s="8"/>
      <x:c r="D1" s="8"/>
      <x:c r="E1" s="8"/>
    </x:row>
    <x:row r="2" ht="24" customHeight="1">
      <x:c r="A2" s="8"/>
      <x:c r="B2" s="8"/>
      <x:c r="C2" s="8"/>
      <x:c r="D2" s="8"/>
      <x:c r="E2" s="8"/>
    </x:row>
    <x:row r="3" ht="34" customHeight="1">
      <x:c r="A3" s="14" t="str">
        <x:v>错误分类不等于退款证明；查询、下载失败不得自动创建新视频。</x:v>
      </x:c>
      <x:c r="B3" s="14"/>
      <x:c r="C3" s="14"/>
      <x:c r="D3" s="14"/>
      <x:c r="E3" s="14"/>
    </x:row>
    <x:row r="4">
      <x:c r="A4" s="3"/>
      <x:c r="B4" s="3"/>
      <x:c r="C4" s="3"/>
      <x:c r="D4" s="3"/>
      <x:c r="E4" s="3"/>
    </x:row>
    <x:row r="5" ht="30" customHeight="1">
      <x:c r="A5" s="20" t="str">
        <x:v>编号</x:v>
      </x:c>
      <x:c r="B5" s="20" t="str">
        <x:v>技术状态</x:v>
      </x:c>
      <x:c r="C5" s="20" t="str">
        <x:v>用户文案</x:v>
      </x:c>
      <x:c r="D5" s="20" t="str">
        <x:v>安全恢复</x:v>
      </x:c>
      <x:c r="E5" s="20" t="str">
        <x:v>禁止行为</x:v>
      </x:c>
    </x:row>
    <x:row r="6" ht="66" customHeight="1">
      <x:c r="A6" s="24" t="str">
        <x:v>E01</x:v>
      </x:c>
      <x:c r="B6" s="24" t="str">
        <x:v>core_api_key_required/401</x:v>
      </x:c>
      <x:c r="C6" s="24" t="str">
        <x:v>尚未连接或授权已失效</x:v>
      </x:c>
      <x:c r="D6" s="24" t="str">
        <x:v>保留草稿；打开重新授权</x:v>
      </x:c>
      <x:c r="E6" s="24" t="str">
        <x:v>禁止自动换Key或重复生成</x:v>
      </x:c>
    </x:row>
    <x:row r="7" ht="66" customHeight="1">
      <x:c r="A7" s="24" t="str">
        <x:v>E02</x:v>
      </x:c>
      <x:c r="B7" s="24" t="str">
        <x:v>insufficient_scope/403</x:v>
      </x:c>
      <x:c r="C7" s="24" t="str">
        <x:v>当前授权不能执行此操作</x:v>
      </x:c>
      <x:c r="D7" s="24" t="str">
        <x:v>显示需要的能力，联系管理员配置</x:v>
      </x:c>
      <x:c r="E7" s="24" t="str">
        <x:v>禁止使用admin或bridge凭据替代</x:v>
      </x:c>
    </x:row>
    <x:row r="8" ht="66" customHeight="1">
      <x:c r="A8" s="24" t="str">
        <x:v>E03</x:v>
      </x:c>
      <x:c r="B8" s="24" t="str">
        <x:v>not_found/404</x:v>
      </x:c>
      <x:c r="C8" s="24" t="str">
        <x:v>任务、素材或作业不可访问</x:v>
      </x:c>
      <x:c r="D8" s="24" t="str">
        <x:v>核对原连接与Key；保留taskId</x:v>
      </x:c>
      <x:c r="E8" s="24" t="str">
        <x:v>不判断任务不存在或未扣费</x:v>
      </x:c>
    </x:row>
    <x:row r="9" ht="66" customHeight="1">
      <x:c r="A9" s="24" t="str">
        <x:v>E04</x:v>
      </x:c>
      <x:c r="B9" s="24" t="str">
        <x:v>idempotency_conflict/409</x:v>
      </x:c>
      <x:c r="C9" s="24" t="str">
        <x:v>恢复请求与原提交内容不一致</x:v>
      </x:c>
      <x:c r="D9" s="24" t="str">
        <x:v>锁定原run，查看快照差异</x:v>
      </x:c>
      <x:c r="E9" s="24" t="str">
        <x:v>禁止原幂等键配新参数</x:v>
      </x:c>
    </x:row>
    <x:row r="10" ht="66" customHeight="1">
      <x:c r="A10" s="24" t="str">
        <x:v>E05</x:v>
      </x:c>
      <x:c r="B10" s="24" t="str">
        <x:v>quota_insufficient/402或429</x:v>
      </x:c>
      <x:c r="C10" s="24" t="str">
        <x:v>可用额度不足</x:v>
      </x:c>
      <x:c r="D10" s="24" t="str">
        <x:v>停止后续提交并保留队列</x:v>
      </x:c>
      <x:c r="E10" s="24" t="str">
        <x:v>禁止前端虚增额度或降服务绕过</x:v>
      </x:c>
    </x:row>
    <x:row r="11" ht="66" customHeight="1">
      <x:c r="A11" s="24" t="str">
        <x:v>E06</x:v>
      </x:c>
      <x:c r="B11" s="24" t="str">
        <x:v>key_concurrency_exceeded/429</x:v>
      </x:c>
      <x:c r="C11" s="24" t="str">
        <x:v>当前并发已满</x:v>
      </x:c>
      <x:c r="D11" s="24" t="str">
        <x:v>显示重试时间，等待用户/计划恢复</x:v>
      </x:c>
      <x:c r="E11" s="24" t="str">
        <x:v>限速查询；不创建多个新run</x:v>
      </x:c>
    </x:row>
    <x:row r="12" ht="66" customHeight="1">
      <x:c r="A12" s="24" t="str">
        <x:v>E07</x:v>
      </x:c>
      <x:c r="B12" s="24" t="str">
        <x:v>video_billing_paused/503</x:v>
      </x:c>
      <x:c r="C12" s="24" t="str">
        <x:v>服务暂未开放视频准入</x:v>
      </x:c>
      <x:c r="D12" s="24" t="str">
        <x:v>保留项目，显示服务状态</x:v>
      </x:c>
      <x:c r="E12" s="24" t="str">
        <x:v>禁止前端改Core管理开关</x:v>
      </x:c>
    </x:row>
    <x:row r="13" ht="66" customHeight="1">
      <x:c r="A13" s="24" t="str">
        <x:v>E08</x:v>
      </x:c>
      <x:c r="B13" s="24" t="str">
        <x:v>reconcile_required</x:v>
      </x:c>
      <x:c r="C13" s="24" t="str">
        <x:v>生成或账务仍待确认</x:v>
      </x:c>
      <x:c r="D13" s="24" t="str">
        <x:v>保留原任务，仅查询或转管理员核对</x:v>
      </x:c>
      <x:c r="E13" s="24" t="str">
        <x:v>禁止显示已退款/已失败未扣费</x:v>
      </x:c>
    </x:row>
    <x:row r="14" ht="66" customHeight="1">
      <x:c r="A14" s="24" t="str">
        <x:v>E09</x:v>
      </x:c>
      <x:c r="B14" s="24" t="str">
        <x:v>network/CORS/TLS</x:v>
      </x:c>
      <x:c r="C14" s="24" t="str">
        <x:v>暂时无法连接服务</x:v>
      </x:c>
      <x:c r="D14" s="24" t="str">
        <x:v>诊断地址和同源代理配置</x:v>
      </x:c>
      <x:c r="E14" s="24" t="str">
        <x:v>不建议关闭浏览器安全或所有来源放行</x:v>
      </x:c>
    </x:row>
    <x:row r="15" ht="66" customHeight="1">
      <x:c r="A15" s="24" t="str">
        <x:v>E10</x:v>
      </x:c>
      <x:c r="B15" s="24" t="str">
        <x:v>submit_timeout</x:v>
      </x:c>
      <x:c r="C15" s="24" t="str">
        <x:v>提交结果暂未确认</x:v>
      </x:c>
      <x:c r="D15" s="24" t="str">
        <x:v>持久化未知状态；按同幂等身份恢复</x:v>
      </x:c>
      <x:c r="E15" s="24" t="str">
        <x:v>禁止自动新建收费任务</x:v>
      </x:c>
    </x:row>
    <x:row r="16" ht="66" customHeight="1">
      <x:c r="A16" s="24" t="str">
        <x:v>E11</x:v>
      </x:c>
      <x:c r="B16" s="24" t="str">
        <x:v>reference_asset_unavailable</x:v>
      </x:c>
      <x:c r="C16" s="24" t="str">
        <x:v>参考素材不可用</x:v>
      </x:c>
      <x:c r="D16" s="24" t="str">
        <x:v>定位并恢复本地文件，必要时重新上传</x:v>
      </x:c>
      <x:c r="E16" s="24" t="str">
        <x:v>不得静默改为无参考生成</x:v>
      </x:c>
    </x:row>
    <x:row r="17" ht="66" customHeight="1">
      <x:c r="A17" s="24" t="str">
        <x:v>E12</x:v>
      </x:c>
      <x:c r="B17" s="24" t="str">
        <x:v>unsupported_parameter</x:v>
      </x:c>
      <x:c r="C17" s="24" t="str">
        <x:v>当前服务不支持此参数组合</x:v>
      </x:c>
      <x:c r="D17" s="24" t="str">
        <x:v>定位字段，用户重新选择</x:v>
      </x:c>
      <x:c r="E17" s="24" t="str">
        <x:v>不静默改比例/时长/模型</x:v>
      </x:c>
    </x:row>
    <x:row r="18" ht="66" customHeight="1">
      <x:c r="A18" s="24" t="str">
        <x:v>E13</x:v>
      </x:c>
      <x:c r="B18" s="24" t="str">
        <x:v>prompt/reference/video safety rejection</x:v>
      </x:c>
      <x:c r="C18" s="24" t="str">
        <x:v>服务拒绝了此次内容请求</x:v>
      </x:c>
      <x:c r="D18" s="24" t="str">
        <x:v>如实呈现脱敏原因，允许用户正常修改</x:v>
      </x:c>
      <x:c r="E18" s="24" t="str">
        <x:v>不自动规避审核或替换素材</x:v>
      </x:c>
    </x:row>
    <x:row r="19" ht="66" customHeight="1">
      <x:c r="A19" s="24" t="str">
        <x:v>E14</x:v>
      </x:c>
      <x:c r="B19" s="24" t="str">
        <x:v>download_failed</x:v>
      </x:c>
      <x:c r="C19" s="24" t="str">
        <x:v>视频已完成，但获取文件失败</x:v>
      </x:c>
      <x:c r="D19" s="24" t="str">
        <x:v>仅重试下载，保留生成完成状态</x:v>
      </x:c>
      <x:c r="E19" s="24" t="str">
        <x:v>不重新生成</x:v>
      </x:c>
    </x:row>
    <x:row r="20" ht="66" customHeight="1">
      <x:c r="A20" s="24" t="str">
        <x:v>E15</x:v>
      </x:c>
      <x:c r="B20" s="24" t="str">
        <x:v>media_decode_failed</x:v>
      </x:c>
      <x:c r="C20" s="24" t="str">
        <x:v>当前浏览器无法预览此文件</x:v>
      </x:c>
      <x:c r="D20" s="24" t="str">
        <x:v>下载原文件或更换兼容浏览器</x:v>
      </x:c>
      <x:c r="E20" s="24" t="str">
        <x:v>不宣称文件损坏或任务失败</x:v>
      </x:c>
    </x:row>
    <x:row r="21" ht="66" customHeight="1">
      <x:c r="A21" s="24" t="str">
        <x:v>E16</x:v>
      </x:c>
      <x:c r="B21" s="24" t="str">
        <x:v>quota_exceeded_storage</x:v>
      </x:c>
      <x:c r="C21" s="24" t="str">
        <x:v>本地空间不足，未保存</x:v>
      </x:c>
      <x:c r="D21" s="24" t="str">
        <x:v>停止新收费提交；导出草稿/清缩略图</x:v>
      </x:c>
      <x:c r="E21" s="24" t="str">
        <x:v>禁止提前显示已保存</x:v>
      </x:c>
    </x:row>
    <x:row r="22" ht="66" customHeight="1">
      <x:c r="A22" s="24" t="str">
        <x:v>E17</x:v>
      </x:c>
      <x:c r="B22" s="24" t="str">
        <x:v>save_conflict</x:v>
      </x:c>
      <x:c r="C22" s="24" t="str">
        <x:v>项目已在另一处修改</x:v>
      </x:c>
      <x:c r="D22" s="24" t="str">
        <x:v>重载/另存副本/重新审阅提案</x:v>
      </x:c>
      <x:c r="E22" s="24" t="str">
        <x:v>禁止最后写入覆盖</x:v>
      </x:c>
    </x:row>
    <x:row r="23" ht="66" customHeight="1">
      <x:c r="A23" s="24" t="str">
        <x:v>E18</x:v>
      </x:c>
      <x:c r="B23" s="24" t="str">
        <x:v>schema_too_new</x:v>
      </x:c>
      <x:c r="C23" s="24" t="str">
        <x:v>项目版本高于当前客户端</x:v>
      </x:c>
      <x:c r="D23" s="24" t="str">
        <x:v>只读预览/安全导出；保留原包</x:v>
      </x:c>
      <x:c r="E23" s="24" t="str">
        <x:v>禁止降版本破坏导入</x:v>
      </x:c>
    </x:row>
    <x:row r="24" ht="66" customHeight="1">
      <x:c r="A24" s="24" t="str">
        <x:v>E19</x:v>
      </x:c>
      <x:c r="B24" s="24" t="str">
        <x:v>import_unsafe</x:v>
      </x:c>
      <x:c r="C24" s="24" t="str">
        <x:v>导入包含不支持或不安全内容</x:v>
      </x:c>
      <x:c r="D24" s="24" t="str">
        <x:v>拒绝可执行部分，未知节点隔离</x:v>
      </x:c>
      <x:c r="E24" s="24" t="str">
        <x:v>不执行脚本/加载远程插件</x:v>
      </x:c>
    </x:row>
    <x:row r="25" ht="66" customHeight="1">
      <x:c r="A25" s="24" t="str">
        <x:v>E20</x:v>
      </x:c>
      <x:c r="B25" s="24" t="str">
        <x:v>authorization_binding_mismatch</x:v>
      </x:c>
      <x:c r="C25" s="24" t="str">
        <x:v>此任务需要原服务与原授权</x:v>
      </x:c>
      <x:c r="D25" s="24" t="str">
        <x:v>引导提供对应Key</x:v>
      </x:c>
      <x:c r="E25" s="24" t="str">
        <x:v>不能把同用户名视为可跨Key读取</x:v>
      </x:c>
    </x:row>
    <x:row r="26" ht="66" customHeight="1">
      <x:c r="A26" s="24" t="str">
        <x:v>E21</x:v>
      </x:c>
      <x:c r="B26" s="24" t="str">
        <x:v>agent_disconnected</x:v>
      </x:c>
      <x:c r="C26" s="24" t="str">
        <x:v>Agent连接中断</x:v>
      </x:c>
      <x:c r="D26" s="24" t="str">
        <x:v>保留提案，撤销会话写权限</x:v>
      </x:c>
      <x:c r="E26" s="24" t="str">
        <x:v>不继续执行旧自动批准</x:v>
      </x:c>
    </x:row>
    <x:row r="27" ht="66" customHeight="1">
      <x:c r="A27" s="24" t="str">
        <x:v>E22</x:v>
      </x:c>
      <x:c r="B27" s="24" t="str">
        <x:v>browser_storage_evicted</x:v>
      </x:c>
      <x:c r="C27" s="24" t="str">
        <x:v>当前浏览器没有找到项目数据</x:v>
      </x:c>
      <x:c r="D27" s="24" t="str">
        <x:v>导入备份，说明本地数据边界</x:v>
      </x:c>
      <x:c r="E27" s="24" t="str">
        <x:v>不假称Core保存了整张画布</x:v>
      </x:c>
    </x:row>
    <x:row r="28" ht="66" customHeight="1">
      <x:c r="A28" s="24" t="str">
        <x:v>E23</x:v>
      </x:c>
      <x:c r="B28" s="24" t="str">
        <x:v>capability_unknown</x:v>
      </x:c>
      <x:c r="C28" s="24" t="str">
        <x:v>尚未验证此功能是否可用</x:v>
      </x:c>
      <x:c r="D28" s="24" t="str">
        <x:v>能力页解释；不显示执行按钮</x:v>
      </x:c>
      <x:c r="E28" s="24" t="str">
        <x:v>不发收费请求探测能力</x:v>
      </x:c>
    </x:row>
    <x:row r="29" ht="66" customHeight="1">
      <x:c r="A29" s="24" t="str">
        <x:v>E24</x:v>
      </x:c>
      <x:c r="B29" s="24" t="str">
        <x:v>unknown_exception</x:v>
      </x:c>
      <x:c r="C29" s="24" t="str">
        <x:v>遇到未分类问题</x:v>
      </x:c>
      <x:c r="D29" s="24" t="str">
        <x:v>保留现场，导出脱敏诊断</x:v>
      </x:c>
      <x:c r="E29" s="24" t="str">
        <x:v>不能回退成成功或自动提交</x:v>
      </x:c>
    </x:row>
  </x:sheetData>
  <x:mergeCells>
    <x:mergeCell ref="A1:E2"/>
    <x:mergeCell ref="A3:E3"/>
  </x:mergeCells>
  <x:pageMargins left="0.7" right="0.7" top="0.75" bottom="0.75" header="0.3" footer="0.3"/>
  <x:tableParts count="1">
    <x:tablePart xmlns:r="http://schemas.openxmlformats.org/officeDocument/2006/relationships" r:id="R9077298c8f4c4e88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75" hidden="0" customWidth="1"/>
    <x:col min="3" max="3" width="14" hidden="0" customWidth="1"/>
    <x:col min="4" max="4" width="18" hidden="0" customWidth="1"/>
    <x:col min="5" max="5" width="40" hidden="0" customWidth="1"/>
    <x:col min="6" max="6" width="22" hidden="0" customWidth="1"/>
  </x:cols>
  <x:sheetData>
    <x:row r="1" ht="24" customHeight="1">
      <x:c r="A1" s="8" t="str">
        <x:v>16项提示词增补验收</x:v>
      </x:c>
      <x:c r="B1" s="8"/>
      <x:c r="C1" s="8"/>
      <x:c r="D1" s="8"/>
      <x:c r="E1" s="8"/>
      <x:c r="F1" s="8"/>
    </x:row>
    <x:row r="2" ht="24" customHeight="1">
      <x:c r="A2" s="8"/>
      <x:c r="B2" s="8"/>
      <x:c r="C2" s="8"/>
      <x:c r="D2" s="8"/>
      <x:c r="E2" s="8"/>
      <x:c r="F2" s="8"/>
    </x:row>
    <x:row r="3" ht="34" customHeight="1">
      <x:c r="A3" s="14" t="str">
        <x:v>本地整理、AI文字优化和视频生成严格分开；插入画布与创建流程不发出视频请求。</x:v>
      </x:c>
      <x:c r="B3" s="14"/>
      <x:c r="C3" s="14"/>
      <x:c r="D3" s="14"/>
      <x:c r="E3" s="14"/>
      <x:c r="F3" s="14"/>
    </x:row>
    <x:row r="4">
      <x:c r="A4" s="3"/>
      <x:c r="B4" s="3"/>
      <x:c r="C4" s="3"/>
      <x:c r="D4" s="3"/>
      <x:c r="E4" s="3"/>
      <x:c r="F4" s="3"/>
    </x:row>
    <x:row r="5" ht="30" customHeight="1">
      <x:c r="A5" s="20" t="str">
        <x:v>用例</x:v>
      </x:c>
      <x:c r="B5" s="20" t="str">
        <x:v>验收要求</x:v>
      </x:c>
      <x:c r="C5" s="20" t="str">
        <x:v>主任务</x:v>
      </x:c>
      <x:c r="D5" s="20" t="str">
        <x:v>验证状态</x:v>
      </x:c>
      <x:c r="E5" s="20" t="str">
        <x:v>证据</x:v>
      </x:c>
      <x:c r="F5" s="20" t="str">
        <x:v>来源</x:v>
      </x:c>
    </x:row>
    <x:row r="6" ht="76" customHeight="1">
      <x:c r="A6" s="24" t="str">
        <x:v>PG-T01</x:v>
      </x:c>
      <x:c r="B6" s="24" t="str">
        <x:v>断网且无Key，本地整理、草稿保存、复制和插入文本节点可用；无网络请求。</x:v>
      </x:c>
      <x:c r="C6" s="24" t="str">
        <x:v>T18</x:v>
      </x:c>
      <x:c r="D6" s="26" t="str">
        <x:v>未验证</x:v>
      </x:c>
      <x:c r="E6" s="24" t="str"/>
      <x:c r="F6" s="24" t="str">
        <x:v>Design 1.1 §8</x:v>
      </x:c>
    </x:row>
    <x:row r="7" ht="76" customHeight="1">
      <x:c r="A7" s="24" t="str">
        <x:v>PG-T02</x:v>
      </x:c>
      <x:c r="B7" s="24" t="str">
        <x:v>原始需求5秒9:16，表单默认15秒16:9，必须提示冲突；确认前不发送AI请求。</x:v>
      </x:c>
      <x:c r="C7" s="24" t="str">
        <x:v>T19</x:v>
      </x:c>
      <x:c r="D7" s="26" t="str">
        <x:v>未验证</x:v>
      </x:c>
      <x:c r="E7" s="24" t="str"/>
      <x:c r="F7" s="24" t="str">
        <x:v>Design 1.1 §8</x:v>
      </x:c>
    </x:row>
    <x:row r="8" ht="76" customHeight="1">
      <x:c r="A8" s="24" t="str">
        <x:v>PG-T03</x:v>
      </x:c>
      <x:c r="B8" s="24" t="str">
        <x:v>明确要求保留品牌汉字、人物数量、对白和不切镜；模板及AI结果改动这些字段必须报警。</x:v>
      </x:c>
      <x:c r="C8" s="24" t="str">
        <x:v>T19</x:v>
      </x:c>
      <x:c r="D8" s="26" t="str">
        <x:v>未验证</x:v>
      </x:c>
      <x:c r="E8" s="24" t="str"/>
      <x:c r="F8" s="24" t="str">
        <x:v>Design 1.1 §8</x:v>
      </x:c>
    </x:row>
    <x:row r="9" ht="76" customHeight="1">
      <x:c r="A9" s="24" t="str">
        <x:v>PG-T04</x:v>
      </x:c>
      <x:c r="B9" s="24" t="str">
        <x:v>没有素材时不得生成已绑定@图片1；删除/重排素材后别名和稳定ID仍正确。</x:v>
      </x:c>
      <x:c r="C9" s="24" t="str">
        <x:v>T19</x:v>
      </x:c>
      <x:c r="D9" s="26" t="str">
        <x:v>未验证</x:v>
      </x:c>
      <x:c r="E9" s="24" t="str"/>
      <x:c r="F9" s="24" t="str">
        <x:v>Design 1.1 §8</x:v>
      </x:c>
    </x:row>
    <x:row r="10" ht="76" customHeight="1">
      <x:c r="A10" s="24" t="str">
        <x:v>PG-T05</x:v>
      </x:c>
      <x:c r="B10" s="24" t="str">
        <x:v>目标30秒而单任务能力较短，只产生镜头草案；不得单次提交30秒或自动收费多次。</x:v>
      </x:c>
      <x:c r="C10" s="24" t="str">
        <x:v>T19</x:v>
      </x:c>
      <x:c r="D10" s="26" t="str">
        <x:v>未验证</x:v>
      </x:c>
      <x:c r="E10" s="24" t="str"/>
      <x:c r="F10" s="24" t="str">
        <x:v>Design 1.1 §8</x:v>
      </x:c>
    </x:row>
    <x:row r="11" ht="76" customHeight="1">
      <x:c r="A11" s="24" t="str">
        <x:v>PG-T06</x:v>
      </x:c>
      <x:c r="B11" s="24" t="str">
        <x:v>未确认音频或首尾帧能力，相关创意可写作但不能成为执行参数或能力承诺。</x:v>
      </x:c>
      <x:c r="C11" s="24" t="str">
        <x:v>T43</x:v>
      </x:c>
      <x:c r="D11" s="26" t="str">
        <x:v>未验证</x:v>
      </x:c>
      <x:c r="E11" s="24" t="str"/>
      <x:c r="F11" s="24" t="str">
        <x:v>Design 1.1 §8</x:v>
      </x:c>
    </x:row>
    <x:row r="12" ht="76" customHeight="1">
      <x:c r="A12" s="24" t="str">
        <x:v>PG-T07</x:v>
      </x:c>
      <x:c r="B12" s="24" t="str">
        <x:v>用户点击AI优化前展示实际文字模型；seedance及视频别名不能成为文字模型。</x:v>
      </x:c>
      <x:c r="C12" s="24" t="str">
        <x:v>T30</x:v>
      </x:c>
      <x:c r="D12" s="26" t="str">
        <x:v>未验证</x:v>
      </x:c>
      <x:c r="E12" s="24" t="str"/>
      <x:c r="F12" s="24" t="str">
        <x:v>Design 1.1 §8</x:v>
      </x:c>
    </x:row>
    <x:row r="13" ht="76" customHeight="1">
      <x:c r="A13" s="24" t="str">
        <x:v>PG-T08</x:v>
      </x:c>
      <x:c r="B13" s="24" t="str">
        <x:v>AI处理中改下一草稿，返回结果附属原输入版本，不覆盖新编辑。</x:v>
      </x:c>
      <x:c r="C13" s="24" t="str">
        <x:v>T31</x:v>
      </x:c>
      <x:c r="D13" s="26" t="str">
        <x:v>未验证</x:v>
      </x:c>
      <x:c r="E13" s="24" t="str"/>
      <x:c r="F13" s="24" t="str">
        <x:v>Design 1.1 §8</x:v>
      </x:c>
    </x:row>
    <x:row r="14" ht="76" customHeight="1">
      <x:c r="A14" s="24" t="str">
        <x:v>PG-T09</x:v>
      </x:c>
      <x:c r="B14" s="24" t="str">
        <x:v>请求超时保留旧结果与请求关联；停止等待不显示已取消/已退款。</x:v>
      </x:c>
      <x:c r="C14" s="24" t="str">
        <x:v>T30</x:v>
      </x:c>
      <x:c r="D14" s="26" t="str">
        <x:v>未验证</x:v>
      </x:c>
      <x:c r="E14" s="24" t="str"/>
      <x:c r="F14" s="24" t="str">
        <x:v>Design 1.1 §8</x:v>
      </x:c>
    </x:row>
    <x:row r="15" ht="76" customHeight="1">
      <x:c r="A15" s="24" t="str">
        <x:v>PG-T10</x:v>
      </x:c>
      <x:c r="B15" s="24" t="str">
        <x:v>结果格式错误可保留并手改，不自动再次调用模型修复。</x:v>
      </x:c>
      <x:c r="C15" s="24" t="str">
        <x:v>T31</x:v>
      </x:c>
      <x:c r="D15" s="26" t="str">
        <x:v>未验证</x:v>
      </x:c>
      <x:c r="E15" s="24" t="str"/>
      <x:c r="F15" s="24" t="str">
        <x:v>Design 1.1 §8</x:v>
      </x:c>
    </x:row>
    <x:row r="16" ht="76" customHeight="1">
      <x:c r="A16" s="24" t="str">
        <x:v>PG-T11</x:v>
      </x:c>
      <x:c r="B16" s="24" t="str">
        <x:v>插入画布仅新增节点，应用当前节点遇revision冲突必须阻止静默覆盖。</x:v>
      </x:c>
      <x:c r="C16" s="24" t="str">
        <x:v>T22</x:v>
      </x:c>
      <x:c r="D16" s="26" t="str">
        <x:v>未验证</x:v>
      </x:c>
      <x:c r="E16" s="24" t="str"/>
      <x:c r="F16" s="24" t="str">
        <x:v>Design 1.1 §8</x:v>
      </x:c>
    </x:row>
    <x:row r="17" ht="76" customHeight="1">
      <x:c r="A17" s="24" t="str">
        <x:v>PG-T12</x:v>
      </x:c>
      <x:c r="B17" s="24" t="str">
        <x:v>创建视频流程只建节点和连线，实际视频需另一轮确认。</x:v>
      </x:c>
      <x:c r="C17" s="24" t="str">
        <x:v>T22</x:v>
      </x:c>
      <x:c r="D17" s="26" t="str">
        <x:v>未验证</x:v>
      </x:c>
      <x:c r="E17" s="24" t="str"/>
      <x:c r="F17" s="24" t="str">
        <x:v>Design 1.1 §8</x:v>
      </x:c>
    </x:row>
    <x:row r="18" ht="76" customHeight="1">
      <x:c r="A18" s="24" t="str">
        <x:v>PG-T13</x:v>
      </x:c>
      <x:c r="B18" s="24" t="str">
        <x:v>导出无Key/Token；诊断脱敏；本地草稿不宣称跨设备同步。</x:v>
      </x:c>
      <x:c r="C18" s="24" t="str">
        <x:v>T45</x:v>
      </x:c>
      <x:c r="D18" s="26" t="str">
        <x:v>未验证</x:v>
      </x:c>
      <x:c r="E18" s="24" t="str"/>
      <x:c r="F18" s="24" t="str">
        <x:v>Design 1.1 §8</x:v>
      </x:c>
    </x:row>
    <x:row r="19" ht="76" customHeight="1">
      <x:c r="A19" s="24" t="str">
        <x:v>PG-T14</x:v>
      </x:c>
      <x:c r="B19" s="24" t="str">
        <x:v>切换视频/图片和本地/AI模式保留各自草稿；不沿用旧类型切换清空行为。</x:v>
      </x:c>
      <x:c r="C19" s="24" t="str">
        <x:v>T21</x:v>
      </x:c>
      <x:c r="D19" s="26" t="str">
        <x:v>未验证</x:v>
      </x:c>
      <x:c r="E19" s="24" t="str"/>
      <x:c r="F19" s="24" t="str">
        <x:v>Design 1.1 §8</x:v>
      </x:c>
    </x:row>
    <x:row r="20" ht="76" customHeight="1">
      <x:c r="A20" s="24" t="str">
        <x:v>PG-T15</x:v>
      </x:c>
      <x:c r="B20" s="24" t="str">
        <x:v>历史恢复不恢复旧凭据；重新授权不自动重发任务。</x:v>
      </x:c>
      <x:c r="C20" s="24" t="str">
        <x:v>T20</x:v>
      </x:c>
      <x:c r="D20" s="26" t="str">
        <x:v>未验证</x:v>
      </x:c>
      <x:c r="E20" s="24" t="str"/>
      <x:c r="F20" s="24" t="str">
        <x:v>Design 1.1 §8</x:v>
      </x:c>
    </x:row>
    <x:row r="21" ht="76" customHeight="1">
      <x:c r="A21" s="24" t="str">
        <x:v>PG-T16</x:v>
      </x:c>
      <x:c r="B21" s="24" t="str">
        <x:v>原表P05保存提示词与新P21生成草稿联通但职责不重复，键盘/窄屏操作可达。</x:v>
      </x:c>
      <x:c r="C21" s="24" t="str">
        <x:v>T21</x:v>
      </x:c>
      <x:c r="D21" s="26" t="str">
        <x:v>未验证</x:v>
      </x:c>
      <x:c r="E21" s="24" t="str"/>
      <x:c r="F21" s="24" t="str">
        <x:v>Design 1.1 §8</x:v>
      </x:c>
    </x:row>
  </x:sheetData>
  <x:mergeCells>
    <x:mergeCell ref="A1:F2"/>
    <x:mergeCell ref="A3:F3"/>
  </x:mergeCells>
  <x:conditionalFormatting sqref="D6:D21">
    <x:cfRule type="expression" dxfId="8" priority="1">
      <x:formula>D6="通过"</x:formula>
    </x:cfRule>
    <x:cfRule type="expression" dxfId="9" priority="2">
      <x:formula>D6="失败"</x:formula>
    </x:cfRule>
  </x:conditionalFormatting>
  <x:dataValidations count="1">
    <x:dataValidation type="list" sqref="D6:D21">
      <x:formula1>"未验证,验证中,通过,失败"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ae653553dfe4239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9" hidden="0" customWidth="1"/>
    <x:col min="3" max="3" width="42" hidden="0" customWidth="1"/>
    <x:col min="4" max="4" width="60" hidden="0" customWidth="1"/>
    <x:col min="5" max="5" width="72" hidden="0" customWidth="1"/>
    <x:col min="6" max="6" width="69" hidden="0" customWidth="1"/>
  </x:cols>
  <x:sheetData>
    <x:row r="1" ht="24" customHeight="1">
      <x:c r="A1" s="8" t="str">
        <x:v>固定设计和源码依据</x:v>
      </x:c>
      <x:c r="B1" s="8"/>
      <x:c r="C1" s="8"/>
      <x:c r="D1" s="8"/>
      <x:c r="E1" s="8"/>
      <x:c r="F1" s="8"/>
    </x:row>
    <x:row r="2" ht="24" customHeight="1">
      <x:c r="A2" s="8"/>
      <x:c r="B2" s="8"/>
      <x:c r="C2" s="8"/>
      <x:c r="D2" s="8"/>
      <x:c r="E2" s="8"/>
      <x:c r="F2" s="8"/>
    </x:row>
    <x:row r="3" ht="34" customHeight="1">
      <x:c r="A3" s="14" t="str">
        <x:v>这是计划引用基线，不声明当前生产实例与此快照相同；没有读取生产Key或数据库。</x:v>
      </x:c>
      <x:c r="B3" s="14"/>
      <x:c r="C3" s="14"/>
      <x:c r="D3" s="14"/>
      <x:c r="E3" s="14"/>
      <x:c r="F3" s="14"/>
    </x:row>
    <x:row r="4">
      <x:c r="A4" s="3"/>
      <x:c r="B4" s="3"/>
      <x:c r="C4" s="3"/>
      <x:c r="D4" s="3"/>
      <x:c r="E4" s="3"/>
      <x:c r="F4" s="3"/>
    </x:row>
    <x:row r="5" ht="30" customHeight="1">
      <x:c r="A5" s="20" t="str">
        <x:v>来源ID</x:v>
      </x:c>
      <x:c r="B5" s="20" t="str">
        <x:v>名称</x:v>
      </x:c>
      <x:c r="C5" s="20" t="str">
        <x:v>核对状态</x:v>
      </x:c>
      <x:c r="D5" s="20" t="str">
        <x:v>快照/相对路径</x:v>
      </x:c>
      <x:c r="E5" s="20" t="str">
        <x:v>来源地址</x:v>
      </x:c>
      <x:c r="F5" s="20" t="str">
        <x:v>附件SHA-256</x:v>
      </x:c>
    </x:row>
    <x:row r="6" ht="78" customHeight="1">
      <x:c r="A6" s="24" t="str">
        <x:v>S01</x:v>
      </x:c>
      <x:c r="B6" s="24" t="str">
        <x:v>画布设计基线1.0</x:v>
      </x:c>
      <x:c r="C6" s="24" t="str">
        <x:v>已批准设计，原文冻结保留旧状态文字</x:v>
      </x:c>
      <x:c r="D6" s="24" t="str">
        <x:v>docs/superpowers/specs/AIWORK_Studio_Design_v1.md</x:v>
      </x:c>
      <x:c r="E6" s="24" t="str">
        <x:v>会话附件：AIWORK_Studio_Design_v1.md</x:v>
      </x:c>
      <x:c r="F6" s="24" t="str">
        <x:v>78d729195494edfe7af5936f89f19eaf00ac82f4f5d9a76283ee60b50f41c1f4</x:v>
      </x:c>
    </x:row>
    <x:row r="7" ht="78" customHeight="1">
      <x:c r="A7" s="24" t="str">
        <x:v>S02</x:v>
      </x:c>
      <x:c r="B7" s="24" t="str">
        <x:v>提示词设计增补1.1</x:v>
      </x:c>
      <x:c r="C7" s="24" t="str">
        <x:v>2026-09-30T06:41:08Z用户明确认可</x:v>
      </x:c>
      <x:c r="D7" s="24" t="str">
        <x:v>docs/superpowers/specs/AIWORK_Studio_Prompt_Generation_Design_v1.1.md</x:v>
      </x:c>
      <x:c r="E7" s="24" t="str">
        <x:v>会话附件：AIWORK_Studio_Prompt_Generation_Design_v1.1.md</x:v>
      </x:c>
      <x:c r="F7" s="24" t="str">
        <x:v>3cc3f508ce38ca589d70387637679cb19f024a543773b30f2459caf4cae0500a</x:v>
      </x:c>
    </x:row>
    <x:row r="8" ht="78" customHeight="1">
      <x:c r="A8" s="24" t="str">
        <x:v>S03</x:v>
      </x:c>
      <x:c r="B8" s="24" t="str">
        <x:v>Infinite Canvas</x:v>
      </x:c>
      <x:c r="C8" s="24" t="str">
        <x:v>固定来源，不是已跑过构建</x:v>
      </x:c>
      <x:c r="D8" s="24" t="str">
        <x:v>dab19adc0847e32e39b7fc8ff90cb392561fb826</x:v>
      </x:c>
      <x:c r="E8" s="24" t="str">
        <x:v>https://github.com/basketikun/infinite-canvas/tree/dab19adc0847e32e39b7fc8ff90cb392561fb826</x:v>
      </x:c>
      <x:c r="F8" s="24" t="str"/>
    </x:row>
    <x:row r="9" ht="78" customHeight="1">
      <x:c r="A9" s="24" t="str">
        <x:v>S04</x:v>
      </x:c>
      <x:c r="B9" s="24" t="str">
        <x:v>Core</x:v>
      </x:c>
      <x:c r="C9" s="24" t="str">
        <x:v>公开路由本轮重读；部署状态未验证</x:v>
      </x:c>
      <x:c r="D9" s="24" t="str">
        <x:v>c056dffc41c701fb1b78a84c18c2ec139d3d708b</x:v>
      </x:c>
      <x:c r="E9" s="24" t="str">
        <x:v>https://github.com/manderzuo/Trae-core/blob/c056dffc41c701fb1b78a84c18c2ec139d3d708b/starlink-dimension-router/src/server.rs</x:v>
      </x:c>
      <x:c r="F9" s="24" t="str"/>
    </x:row>
    <x:row r="10" ht="78" customHeight="1">
      <x:c r="A10" s="24" t="str">
        <x:v>S05</x:v>
      </x:c>
      <x:c r="B10" s="24" t="str">
        <x:v>AI Work助手</x:v>
      </x:c>
      <x:c r="C10" s="24" t="str">
        <x:v>沿用设计中的固定基线，不修改</x:v>
      </x:c>
      <x:c r="D10" s="24" t="str">
        <x:v>d97904db990485072d50a9065ed9dca58e222b0c</x:v>
      </x:c>
      <x:c r="E10" s="24" t="str">
        <x:v>https://github.com/manderzuo/trae-maker/tree/d97904db990485072d50a9065ed9dca58e222b0c</x:v>
      </x:c>
      <x:c r="F10" s="24" t="str"/>
    </x:row>
    <x:row r="11" ht="78" customHeight="1">
      <x:c r="A11" s="24" t="str">
        <x:v>S06</x:v>
      </x:c>
      <x:c r="B11" s="24" t="str">
        <x:v>既有MCP</x:v>
      </x:c>
      <x:c r="C11" s="24" t="str">
        <x:v>沿用设计基线，不假称新分支写入成功</x:v>
      </x:c>
      <x:c r="D11" s="24" t="str">
        <x:v>9e7d5c8f249bfc65265c9f90260cd1e350280557</x:v>
      </x:c>
      <x:c r="E11" s="24" t="str">
        <x:v>https://github.com/manderzuo/trae-maker-MCP/tree/9e7d5c8f249bfc65265c9f90260cd1e350280557</x:v>
      </x:c>
      <x:c r="F11" s="24" t="str"/>
    </x:row>
    <x:row r="12" ht="78" customHeight="1">
      <x:c r="A12" s="24" t="str">
        <x:v>S07</x:v>
      </x:c>
      <x:c r="B12" s="24" t="str">
        <x:v>用户提示词规则</x:v>
      </x:c>
      <x:c r="C12" s="24" t="str">
        <x:v>增补中已读源码；本轮不执行</x:v>
      </x:c>
      <x:c r="D12" s="24" t="str">
        <x:v>d8ba7c104ba7c24e3d28b0c3bede8764544bea8b</x:v>
      </x:c>
      <x:c r="E12" s="24" t="str">
        <x:v>https://github.com/manderzuo/prompt-for-seedance-gptimage2.5/blob/d8ba7c104ba7c24e3d28b0c3bede8764544bea8b/src/optimizer/videoRules.js</x:v>
      </x:c>
      <x:c r="F12" s="24" t="str"/>
    </x:row>
    <x:row r="13" ht="78" customHeight="1">
      <x:c r="A13" s="24" t="str">
        <x:v>S08</x:v>
      </x:c>
      <x:c r="B13" s="24" t="str">
        <x:v>Vite官方</x:v>
      </x:c>
      <x:c r="C13" s="24" t="str">
        <x:v>工具要求核对，不追随latest</x:v>
      </x:c>
      <x:c r="D13" s="24" t="str"/>
      <x:c r="E13" s="24" t="str">
        <x:v>https://vite.dev/guide/</x:v>
      </x:c>
      <x:c r="F13" s="24" t="str"/>
    </x:row>
    <x:row r="14" ht="78" customHeight="1">
      <x:c r="A14" s="24" t="str">
        <x:v>S09</x:v>
      </x:c>
      <x:c r="B14" s="24" t="str">
        <x:v>Vitest官方</x:v>
      </x:c>
      <x:c r="C14" s="24" t="str">
        <x:v>test:unit采用run非watch</x:v>
      </x:c>
      <x:c r="D14" s="24" t="str"/>
      <x:c r="E14" s="24" t="str">
        <x:v>https://vitest.dev/guide/</x:v>
      </x:c>
      <x:c r="F14" s="24" t="str"/>
    </x:row>
    <x:row r="15" ht="78" customHeight="1">
      <x:c r="A15" s="24" t="str">
        <x:v>S10</x:v>
      </x:c>
      <x:c r="B15" s="24" t="str">
        <x:v>Playwright官方</x:v>
      </x:c>
      <x:c r="C15" s="24" t="str">
        <x:v>隔离webServer配置</x:v>
      </x:c>
      <x:c r="D15" s="24" t="str"/>
      <x:c r="E15" s="24" t="str">
        <x:v>https://playwright.dev/docs/test-webserver</x:v>
      </x:c>
      <x:c r="F15" s="24" t="str"/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f7207e9b1bce46f3"/>
  </x:tableParts>
</x:worksheet>
</file>